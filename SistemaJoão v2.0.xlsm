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github\Meu-Sistema_VBA\"/>
    </mc:Choice>
  </mc:AlternateContent>
  <bookViews>
    <workbookView xWindow="0" yWindow="0" windowWidth="20496" windowHeight="7656" activeTab="1"/>
  </bookViews>
  <sheets>
    <sheet name="lembretes" sheetId="9" r:id="rId1"/>
    <sheet name="dashBoard" sheetId="2" r:id="rId2"/>
    <sheet name="bancoeValoresParaGasto" sheetId="7" r:id="rId3"/>
    <sheet name="fluxodeReservas" sheetId="8" r:id="rId4"/>
    <sheet name="base" sheetId="1" r:id="rId5"/>
  </sheets>
  <definedNames>
    <definedName name="ID">base!$I$1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" l="1"/>
  <c r="H3" i="1"/>
  <c r="H4" i="1" s="1"/>
  <c r="C7" i="7"/>
  <c r="C6" i="7"/>
  <c r="C5" i="7"/>
  <c r="C4" i="7"/>
  <c r="C3" i="7"/>
  <c r="B7" i="7"/>
  <c r="B6" i="7"/>
  <c r="B5" i="7"/>
  <c r="B4" i="7"/>
  <c r="B3" i="7"/>
  <c r="C4" i="8"/>
  <c r="C6" i="8"/>
  <c r="C5" i="8"/>
  <c r="C3" i="8"/>
  <c r="B6" i="8"/>
  <c r="B5" i="8"/>
  <c r="B4" i="8"/>
  <c r="B3" i="8"/>
  <c r="T14" i="8"/>
  <c r="O14" i="8"/>
  <c r="J15" i="8"/>
  <c r="J14" i="8"/>
  <c r="E15" i="8"/>
  <c r="E14" i="8"/>
  <c r="S5" i="1" l="1"/>
  <c r="O5" i="1"/>
  <c r="E13" i="8"/>
  <c r="T13" i="8"/>
  <c r="O13" i="8"/>
  <c r="J13" i="8"/>
  <c r="N5" i="1"/>
  <c r="M5" i="1"/>
  <c r="P5" i="1"/>
  <c r="Q5" i="1"/>
  <c r="R5" i="1"/>
  <c r="T5" i="1"/>
  <c r="U5" i="1"/>
  <c r="V5" i="1" l="1"/>
</calcChain>
</file>

<file path=xl/sharedStrings.xml><?xml version="1.0" encoding="utf-8"?>
<sst xmlns="http://schemas.openxmlformats.org/spreadsheetml/2006/main" count="91" uniqueCount="53">
  <si>
    <t>ID</t>
  </si>
  <si>
    <t>Mês</t>
  </si>
  <si>
    <t>Nubank</t>
  </si>
  <si>
    <t>Next</t>
  </si>
  <si>
    <t>Bradesco</t>
  </si>
  <si>
    <t>Despesas</t>
  </si>
  <si>
    <t>Bens</t>
  </si>
  <si>
    <t>Lazer</t>
  </si>
  <si>
    <t>Alimentação</t>
  </si>
  <si>
    <t>Cabelo</t>
  </si>
  <si>
    <t>Entradas</t>
  </si>
  <si>
    <t>Academia</t>
  </si>
  <si>
    <t>Salario</t>
  </si>
  <si>
    <t>Outros</t>
  </si>
  <si>
    <t>Tipo</t>
  </si>
  <si>
    <t>Racão</t>
  </si>
  <si>
    <t>Janeiro</t>
  </si>
  <si>
    <t>ALIMENTAÇÃO</t>
  </si>
  <si>
    <t>DIZIMO</t>
  </si>
  <si>
    <t>DIzimo</t>
  </si>
  <si>
    <t>Total Gasto</t>
  </si>
  <si>
    <t>Anos</t>
  </si>
  <si>
    <t>Valor</t>
  </si>
  <si>
    <t>Saldo</t>
  </si>
  <si>
    <t>Ano</t>
  </si>
  <si>
    <t>Descricao</t>
  </si>
  <si>
    <t>Dia</t>
  </si>
  <si>
    <t>Data</t>
  </si>
  <si>
    <t>Carteira</t>
  </si>
  <si>
    <t>Valores Fechamento</t>
  </si>
  <si>
    <t>PicPay</t>
  </si>
  <si>
    <t>Fluxo de Caixa de Reservas</t>
  </si>
  <si>
    <t>Saldo Anterior</t>
  </si>
  <si>
    <t>Reserva de Emergencia</t>
  </si>
  <si>
    <t>Plano de Medio a longo Prazo</t>
  </si>
  <si>
    <t>Aposentadoria</t>
  </si>
  <si>
    <t>Reserva da Consorisio Casa</t>
  </si>
  <si>
    <t>Entrou Janeiro</t>
  </si>
  <si>
    <t>Dizimo</t>
  </si>
  <si>
    <t>Alimentacao</t>
  </si>
  <si>
    <t>entradas</t>
  </si>
  <si>
    <t xml:space="preserve">Mudar eles </t>
  </si>
  <si>
    <t>Saldo Atual</t>
  </si>
  <si>
    <t>NOTEBOOOK</t>
  </si>
  <si>
    <t>Notebook</t>
  </si>
  <si>
    <t>15</t>
  </si>
  <si>
    <t>40/01/2021</t>
  </si>
  <si>
    <t>Valores Atuais em cada Reserva</t>
  </si>
  <si>
    <t>Local</t>
  </si>
  <si>
    <t>Valores Atuais Para Gastos Cotidianos</t>
  </si>
  <si>
    <t>Valores</t>
  </si>
  <si>
    <t>Bancos ou Locais</t>
  </si>
  <si>
    <t>Saldo Atual Fluxo de Caixa a proximado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</si>
</sst>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2"/>
      <color rgb="FFFF0000"/>
      <name val="Calibri"/>
      <family val="2"/>
      <scheme val="minor"/>
    </font>
    <font>
      <sz val="10"/>
      <color rgb="FF03030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0">
    <xf numFmtId="0" fontId="0" fillId="0" borderId="0" xfId="0"/>
    <xf numFmtId="44" fontId="0" fillId="0" borderId="0" xfId="1" applyFont="1"/>
    <xf numFmtId="0" fontId="0" fillId="3" borderId="0" xfId="0" applyFill="1"/>
    <xf numFmtId="0" fontId="0" fillId="0" borderId="0" xfId="0" applyAlignment="1">
      <alignment horizontal="center"/>
    </xf>
    <xf numFmtId="44" fontId="0" fillId="0" borderId="1" xfId="1" applyFont="1" applyBorder="1"/>
    <xf numFmtId="44" fontId="0" fillId="0" borderId="2" xfId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left"/>
    </xf>
    <xf numFmtId="44" fontId="0" fillId="0" borderId="0" xfId="0" applyNumberFormat="1"/>
    <xf numFmtId="44" fontId="2" fillId="0" borderId="6" xfId="1" applyFont="1" applyBorder="1"/>
    <xf numFmtId="0" fontId="0" fillId="0" borderId="5" xfId="1" applyNumberFormat="1" applyFont="1" applyBorder="1" applyAlignment="1">
      <alignment horizontal="center"/>
    </xf>
    <xf numFmtId="44" fontId="0" fillId="0" borderId="0" xfId="1" applyFont="1" applyAlignment="1">
      <alignment horizontal="left"/>
    </xf>
    <xf numFmtId="44" fontId="0" fillId="0" borderId="0" xfId="1" applyFont="1" applyBorder="1" applyAlignment="1">
      <alignment horizontal="center"/>
    </xf>
    <xf numFmtId="44" fontId="0" fillId="0" borderId="8" xfId="1" applyFont="1" applyBorder="1" applyAlignment="1">
      <alignment horizontal="center"/>
    </xf>
    <xf numFmtId="44" fontId="0" fillId="0" borderId="8" xfId="1" applyNumberFormat="1" applyFont="1" applyBorder="1" applyAlignment="1">
      <alignment horizont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4" borderId="1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0" fillId="0" borderId="0" xfId="0" applyBorder="1"/>
    <xf numFmtId="44" fontId="4" fillId="0" borderId="0" xfId="1" applyFont="1"/>
    <xf numFmtId="44" fontId="0" fillId="0" borderId="0" xfId="1" applyFont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44" fontId="0" fillId="0" borderId="7" xfId="1" applyNumberFormat="1" applyFont="1" applyFill="1" applyBorder="1"/>
    <xf numFmtId="44" fontId="2" fillId="0" borderId="7" xfId="1" applyNumberFormat="1" applyFont="1" applyFill="1" applyBorder="1"/>
  </cellXfs>
  <cellStyles count="2">
    <cellStyle name="Moeda" xfId="1" builtinId="4"/>
    <cellStyle name="Normal" xfId="0" builtinId="0"/>
  </cellStyles>
  <dxfs count="58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gradientFill degree="90">
          <stop position="0">
            <color rgb="FFC0F3AB"/>
          </stop>
          <stop position="1">
            <color rgb="FF2ED218"/>
          </stop>
        </gradient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/>
        <right style="thin">
          <color theme="8" tint="0.39997558519241921"/>
        </right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8" tint="0.39997558519241921"/>
        </left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border outline="0">
        <bottom style="thin">
          <color theme="8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0" tint="-4.9989318521683403E-2"/>
      </font>
      <fill>
        <patternFill patternType="solid">
          <fgColor auto="1"/>
          <bgColor theme="3" tint="0.79998168889431442"/>
        </patternFill>
      </fill>
      <border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  <vertical style="medium">
          <color theme="0" tint="-0.24994659260841701"/>
        </vertical>
        <horizontal style="medium">
          <color theme="0" tint="-0.24994659260841701"/>
        </horizontal>
      </border>
    </dxf>
    <dxf>
      <fill>
        <patternFill>
          <bgColor rgb="FFEAF1FA"/>
        </patternFill>
      </fill>
      <border diagonalDown="1"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  <diagonal style="medium">
          <color theme="0" tint="-0.34998626667073579"/>
        </diagonal>
        <vertical style="medium">
          <color theme="0" tint="-0.34998626667073579"/>
        </vertical>
        <horizontal style="thick">
          <color theme="0" tint="-0.34998626667073579"/>
        </horizontal>
      </border>
    </dxf>
    <dxf>
      <fill>
        <patternFill>
          <bgColor theme="4" tint="0.79998168889431442"/>
        </patternFill>
      </fill>
      <border diagonalDown="1">
        <left style="thick">
          <color theme="0" tint="-0.24994659260841701"/>
        </left>
        <right style="thick">
          <color theme="0" tint="-0.24994659260841701"/>
        </right>
        <top style="thick">
          <color theme="0" tint="-0.24994659260841701"/>
        </top>
        <bottom style="thick">
          <color theme="0" tint="-0.24994659260841701"/>
        </bottom>
        <diagonal style="thick">
          <color theme="0" tint="-0.24994659260841701"/>
        </diagonal>
        <vertical style="thick">
          <color theme="0" tint="-0.24994659260841701"/>
        </vertical>
        <horizontal style="thick">
          <color theme="0" tint="-0.24994659260841701"/>
        </horizontal>
      </border>
    </dxf>
    <dxf>
      <font>
        <b/>
        <i/>
        <u val="double"/>
        <color theme="2"/>
      </font>
      <fill>
        <gradientFill type="path">
          <stop position="0">
            <color rgb="FFFF9966"/>
          </stop>
          <stop position="1">
            <color theme="9" tint="-0.25098422193060094"/>
          </stop>
        </gradientFill>
      </fill>
      <border diagonalDown="1">
        <left style="medium">
          <color theme="9" tint="-0.499984740745262"/>
        </left>
        <right style="medium">
          <color theme="9" tint="-0.499984740745262"/>
        </right>
        <top style="medium">
          <color theme="9" tint="-0.499984740745262"/>
        </top>
        <bottom style="medium">
          <color theme="9" tint="-0.499984740745262"/>
        </bottom>
        <diagonal style="medium">
          <color theme="9" tint="-0.499984740745262"/>
        </diagonal>
        <vertical style="medium">
          <color theme="9" tint="-0.499984740745262"/>
        </vertical>
        <horizontal style="medium">
          <color theme="9" tint="-0.499984740745262"/>
        </horizontal>
      </border>
    </dxf>
    <dxf>
      <font>
        <color theme="0" tint="-4.9989318521683403E-2"/>
      </font>
      <fill>
        <gradientFill type="path">
          <stop position="0">
            <color rgb="FFFF9966"/>
          </stop>
          <stop position="1">
            <color rgb="FFF24A2E"/>
          </stop>
        </gradientFill>
      </fill>
      <border diagonalDown="1"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  <diagonal style="thick">
          <color theme="0" tint="-0.34998626667073579"/>
        </diagonal>
        <vertical style="thick">
          <color theme="0" tint="-0.34998626667073579"/>
        </vertical>
        <horizontal style="thick">
          <color theme="0" tint="-0.34998626667073579"/>
        </horizontal>
      </border>
    </dxf>
  </dxfs>
  <tableStyles count="2" defaultTableStyle="TableStyleMedium2" defaultPivotStyle="PivotStyleLight16">
    <tableStyle name="Estilo de Tabela 1" pivot="0" count="5">
      <tableStyleElement type="headerRow" dxfId="57"/>
      <tableStyleElement type="totalRow" dxfId="56"/>
      <tableStyleElement type="firstRowStripe" dxfId="55"/>
      <tableStyleElement type="secondRowStripe" dxfId="54"/>
      <tableStyleElement type="firstColumnStripe" size="2" dxfId="53"/>
    </tableStyle>
    <tableStyle name="SlicerStyleLight1 2" pivot="0" table="0" count="9">
      <tableStyleElement type="headerRow" dxfId="52"/>
    </tableStyle>
  </tableStyles>
  <colors>
    <mruColors>
      <color rgb="FFC0F3AB"/>
      <color rgb="FF2ED218"/>
      <color rgb="FF0066CC"/>
      <color rgb="FF000066"/>
      <color rgb="FF0099FF"/>
      <color rgb="FF5DBDFF"/>
      <color rgb="FFF5FAFD"/>
      <color rgb="FFEDFCFD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Gastos do</a:t>
            </a:r>
            <a:r>
              <a:rPr lang="pt-BR" baseline="0"/>
              <a:t> mês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base!$M$4</c:f>
              <c:strCache>
                <c:ptCount val="1"/>
                <c:pt idx="0">
                  <c:v>Bens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base!$M$5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base!$N$4</c:f>
              <c:strCache>
                <c:ptCount val="1"/>
                <c:pt idx="0">
                  <c:v>Lazer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base!$N$5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base!$O$4</c:f>
              <c:strCache>
                <c:ptCount val="1"/>
                <c:pt idx="0">
                  <c:v>Academia</c:v>
                </c:pt>
              </c:strCache>
            </c:strRef>
          </c:tx>
          <c:spPr>
            <a:gradFill flip="none" rotWithShape="1">
              <a:gsLst>
                <a:gs pos="0">
                  <a:schemeClr val="accent3"/>
                </a:gs>
                <a:gs pos="75000">
                  <a:schemeClr val="accent3">
                    <a:lumMod val="60000"/>
                    <a:lumOff val="40000"/>
                  </a:schemeClr>
                </a:gs>
                <a:gs pos="51000">
                  <a:schemeClr val="accent3">
                    <a:alpha val="75000"/>
                  </a:schemeClr>
                </a:gs>
                <a:gs pos="100000">
                  <a:schemeClr val="accent3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base!$O$5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base!$P$4</c:f>
              <c:strCache>
                <c:ptCount val="1"/>
                <c:pt idx="0">
                  <c:v>Alimentação</c:v>
                </c:pt>
              </c:strCache>
            </c:strRef>
          </c:tx>
          <c:spPr>
            <a:gradFill flip="none" rotWithShape="1">
              <a:gsLst>
                <a:gs pos="0">
                  <a:schemeClr val="accent4"/>
                </a:gs>
                <a:gs pos="75000">
                  <a:schemeClr val="accent4">
                    <a:lumMod val="60000"/>
                    <a:lumOff val="40000"/>
                  </a:schemeClr>
                </a:gs>
                <a:gs pos="51000">
                  <a:schemeClr val="accent4">
                    <a:alpha val="75000"/>
                  </a:schemeClr>
                </a:gs>
                <a:gs pos="100000">
                  <a:schemeClr val="accent4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base!$P$5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base!$Q$4</c:f>
              <c:strCache>
                <c:ptCount val="1"/>
                <c:pt idx="0">
                  <c:v>Cabelo</c:v>
                </c:pt>
              </c:strCache>
            </c:strRef>
          </c:tx>
          <c:spPr>
            <a:gradFill flip="none" rotWithShape="1">
              <a:gsLst>
                <a:gs pos="0">
                  <a:schemeClr val="accent5"/>
                </a:gs>
                <a:gs pos="75000">
                  <a:schemeClr val="accent5">
                    <a:lumMod val="60000"/>
                    <a:lumOff val="40000"/>
                  </a:schemeClr>
                </a:gs>
                <a:gs pos="51000">
                  <a:schemeClr val="accent5">
                    <a:alpha val="75000"/>
                  </a:schemeClr>
                </a:gs>
                <a:gs pos="100000">
                  <a:schemeClr val="accent5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base!$Q$5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base!$R$4</c:f>
              <c:strCache>
                <c:ptCount val="1"/>
                <c:pt idx="0">
                  <c:v>DIzimo</c:v>
                </c:pt>
              </c:strCache>
            </c:strRef>
          </c:tx>
          <c:spPr>
            <a:gradFill flip="none" rotWithShape="1">
              <a:gsLst>
                <a:gs pos="0">
                  <a:schemeClr val="accent6"/>
                </a:gs>
                <a:gs pos="75000">
                  <a:schemeClr val="accent6">
                    <a:lumMod val="60000"/>
                    <a:lumOff val="40000"/>
                  </a:schemeClr>
                </a:gs>
                <a:gs pos="51000">
                  <a:schemeClr val="accent6">
                    <a:alpha val="75000"/>
                  </a:schemeClr>
                </a:gs>
                <a:gs pos="100000">
                  <a:schemeClr val="accent6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base!$R$5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base!$T$4</c:f>
              <c:strCache>
                <c:ptCount val="1"/>
                <c:pt idx="0">
                  <c:v>Outros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60000"/>
                  </a:schemeClr>
                </a:gs>
                <a:gs pos="75000">
                  <a:schemeClr val="accent2">
                    <a:lumMod val="60000"/>
                    <a:lumMod val="60000"/>
                    <a:lumOff val="40000"/>
                  </a:schemeClr>
                </a:gs>
                <a:gs pos="51000">
                  <a:schemeClr val="accent2">
                    <a:lumMod val="60000"/>
                    <a:alpha val="75000"/>
                  </a:schemeClr>
                </a:gs>
                <a:gs pos="100000">
                  <a:schemeClr val="accent2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base!$T$5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base!$U$4</c:f>
              <c:strCache>
                <c:ptCount val="1"/>
                <c:pt idx="0">
                  <c:v>Racão</c:v>
                </c:pt>
              </c:strCache>
            </c:strRef>
          </c:tx>
          <c:spPr>
            <a:gradFill flip="none" rotWithShape="1">
              <a:gsLst>
                <a:gs pos="0">
                  <a:schemeClr val="accent3">
                    <a:lumMod val="60000"/>
                  </a:schemeClr>
                </a:gs>
                <a:gs pos="75000">
                  <a:schemeClr val="accent3">
                    <a:lumMod val="60000"/>
                    <a:lumMod val="60000"/>
                    <a:lumOff val="40000"/>
                  </a:schemeClr>
                </a:gs>
                <a:gs pos="51000">
                  <a:schemeClr val="accent3">
                    <a:lumMod val="60000"/>
                    <a:alpha val="75000"/>
                  </a:schemeClr>
                </a:gs>
                <a:gs pos="100000">
                  <a:schemeClr val="accent3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base!$U$5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base!$V$4</c:f>
              <c:strCache>
                <c:ptCount val="1"/>
                <c:pt idx="0">
                  <c:v>Total Gasto</c:v>
                </c:pt>
              </c:strCache>
            </c:strRef>
          </c:tx>
          <c:spPr>
            <a:gradFill flip="none" rotWithShape="1">
              <a:gsLst>
                <a:gs pos="0">
                  <a:schemeClr val="accent4">
                    <a:lumMod val="60000"/>
                  </a:schemeClr>
                </a:gs>
                <a:gs pos="75000">
                  <a:schemeClr val="accent4">
                    <a:lumMod val="60000"/>
                    <a:lumMod val="60000"/>
                    <a:lumOff val="40000"/>
                  </a:schemeClr>
                </a:gs>
                <a:gs pos="51000">
                  <a:schemeClr val="accent4">
                    <a:lumMod val="60000"/>
                    <a:alpha val="75000"/>
                  </a:schemeClr>
                </a:gs>
                <a:gs pos="100000">
                  <a:schemeClr val="accent4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base!$K$5:$L$5</c:f>
              <c:strCache>
                <c:ptCount val="2"/>
                <c:pt idx="0">
                  <c:v>2022</c:v>
                </c:pt>
                <c:pt idx="1">
                  <c:v>Janeiro</c:v>
                </c:pt>
              </c:strCache>
            </c:strRef>
          </c:cat>
          <c:val>
            <c:numRef>
              <c:f>base!$V$5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227466272"/>
        <c:axId val="227467056"/>
        <c:extLst>
          <c:ext xmlns:c15="http://schemas.microsoft.com/office/drawing/2012/chart" uri="{02D57815-91ED-43cb-92C2-25804820EDAC}">
            <c15:filteredBa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base!$S$4</c15:sqref>
                        </c15:formulaRef>
                      </c:ext>
                    </c:extLst>
                    <c:strCache>
                      <c:ptCount val="1"/>
                      <c:pt idx="0">
                        <c:v>Entradas</c:v>
                      </c:pt>
                    </c:strCache>
                  </c:strRef>
                </c:tx>
                <c:spPr>
                  <a:gradFill flip="none" rotWithShape="1">
                    <a:gsLst>
                      <a:gs pos="0">
                        <a:schemeClr val="accent1">
                          <a:lumMod val="60000"/>
                        </a:schemeClr>
                      </a:gs>
                      <a:gs pos="75000">
                        <a:schemeClr val="accent1">
                          <a:lumMod val="60000"/>
                          <a:lumMod val="60000"/>
                          <a:lumOff val="40000"/>
                        </a:schemeClr>
                      </a:gs>
                      <a:gs pos="51000">
                        <a:schemeClr val="accent1">
                          <a:lumMod val="60000"/>
                          <a:alpha val="75000"/>
                        </a:schemeClr>
                      </a:gs>
                      <a:gs pos="100000">
                        <a:schemeClr val="accent1">
                          <a:lumMod val="60000"/>
                          <a:lumMod val="20000"/>
                          <a:lumOff val="80000"/>
                          <a:alpha val="15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base!$K$5:$L$5</c15:sqref>
                        </c15:formulaRef>
                      </c:ext>
                    </c:extLst>
                    <c:strCache>
                      <c:ptCount val="2"/>
                      <c:pt idx="0">
                        <c:v>2022</c:v>
                      </c:pt>
                      <c:pt idx="1">
                        <c:v>Janeiro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base!$S$5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1"/>
                      <c:pt idx="0">
                        <c:v>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22746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7467056"/>
        <c:crosses val="autoZero"/>
        <c:auto val="1"/>
        <c:lblAlgn val="ctr"/>
        <c:lblOffset val="100"/>
        <c:noMultiLvlLbl val="0"/>
      </c:catAx>
      <c:valAx>
        <c:axId val="22746705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746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VALORES</a:t>
            </a:r>
            <a:r>
              <a:rPr lang="en-US" baseline="0"/>
              <a:t> ATUAIS EM RESERVAS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fluxodeReservas!$C$2</c:f>
              <c:strCache>
                <c:ptCount val="1"/>
                <c:pt idx="0">
                  <c:v>Valor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alpha val="90000"/>
                </a:schemeClr>
              </a:solid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1"/>
            <c:bubble3D val="0"/>
            <c:spPr>
              <a:solidFill>
                <a:schemeClr val="accent2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</c:dPt>
          <c:dPt>
            <c:idx val="2"/>
            <c:bubble3D val="0"/>
            <c:spPr>
              <a:solidFill>
                <a:schemeClr val="accent3">
                  <a:alpha val="90000"/>
                </a:schemeClr>
              </a:solidFill>
              <a:ln w="19050">
                <a:solidFill>
                  <a:schemeClr val="accent3"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75000"/>
                  </a:schemeClr>
                </a:contourClr>
              </a:sp3d>
            </c:spPr>
          </c:dPt>
          <c:dPt>
            <c:idx val="3"/>
            <c:bubble3D val="0"/>
            <c:spPr>
              <a:solidFill>
                <a:schemeClr val="accent4">
                  <a:alpha val="90000"/>
                </a:schemeClr>
              </a:solidFill>
              <a:ln w="19050">
                <a:solidFill>
                  <a:schemeClr val="accent4"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75000"/>
                  </a:schemeClr>
                </a:contourClr>
              </a:sp3d>
            </c:spPr>
          </c:dPt>
          <c:dLbls>
            <c:dLbl>
              <c:idx val="0"/>
              <c:spPr>
                <a:solidFill>
                  <a:sysClr val="window" lastClr="FFFFFF">
                    <a:alpha val="90000"/>
                  </a:sysClr>
                </a:solidFill>
                <a:ln w="12700" cap="flat" cmpd="sng" algn="ctr">
                  <a:solidFill>
                    <a:srgbClr val="5B9BD5"/>
                  </a:solidFill>
                  <a:round/>
                </a:ln>
                <a:effectLst>
                  <a:outerShdw blurRad="50800" dist="38100" dir="2700000" algn="tl" rotWithShape="0">
                    <a:srgbClr val="5B9BD5">
                      <a:lumMod val="75000"/>
                      <a:alpha val="40000"/>
                    </a:srgb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spPr>
                <a:solidFill>
                  <a:sysClr val="window" lastClr="FFFFFF">
                    <a:alpha val="90000"/>
                  </a:sysClr>
                </a:solidFill>
                <a:ln w="12700" cap="flat" cmpd="sng" algn="ctr">
                  <a:solidFill>
                    <a:srgbClr val="5B9BD5"/>
                  </a:solidFill>
                  <a:round/>
                </a:ln>
                <a:effectLst>
                  <a:outerShdw blurRad="50800" dist="38100" dir="2700000" algn="tl" rotWithShape="0">
                    <a:srgbClr val="5B9BD5">
                      <a:lumMod val="75000"/>
                      <a:alpha val="40000"/>
                    </a:srgb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spPr>
                <a:solidFill>
                  <a:sysClr val="window" lastClr="FFFFFF">
                    <a:alpha val="90000"/>
                  </a:sysClr>
                </a:solidFill>
                <a:ln w="12700" cap="flat" cmpd="sng" algn="ctr">
                  <a:solidFill>
                    <a:srgbClr val="5B9BD5"/>
                  </a:solidFill>
                  <a:round/>
                </a:ln>
                <a:effectLst>
                  <a:outerShdw blurRad="50800" dist="38100" dir="2700000" algn="tl" rotWithShape="0">
                    <a:srgbClr val="5B9BD5">
                      <a:lumMod val="75000"/>
                      <a:alpha val="40000"/>
                    </a:srgb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spPr>
                <a:solidFill>
                  <a:sysClr val="window" lastClr="FFFFFF">
                    <a:alpha val="90000"/>
                  </a:sysClr>
                </a:solidFill>
                <a:ln w="12700" cap="flat" cmpd="sng" algn="ctr">
                  <a:solidFill>
                    <a:srgbClr val="5B9BD5"/>
                  </a:solidFill>
                  <a:round/>
                </a:ln>
                <a:effectLst>
                  <a:outerShdw blurRad="50800" dist="38100" dir="2700000" algn="tl" rotWithShape="0">
                    <a:srgbClr val="5B9BD5">
                      <a:lumMod val="75000"/>
                      <a:alpha val="40000"/>
                    </a:srgb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5B9BD5"/>
                </a:solidFill>
                <a:round/>
              </a:ln>
              <a:effectLst>
                <a:outerShdw blurRad="50800" dist="38100" dir="2700000" algn="tl" rotWithShape="0">
                  <a:srgbClr val="5B9BD5">
                    <a:lumMod val="75000"/>
                    <a:alpha val="40000"/>
                  </a:srgbClr>
                </a:outerShdw>
              </a:effectLst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fluxodeReservas!$B$3:$B$6</c:f>
              <c:strCache>
                <c:ptCount val="4"/>
                <c:pt idx="0">
                  <c:v>Reserva de Emergencia</c:v>
                </c:pt>
                <c:pt idx="1">
                  <c:v>Plano de Medio a longo Prazo</c:v>
                </c:pt>
                <c:pt idx="2">
                  <c:v>Aposentadoria</c:v>
                </c:pt>
                <c:pt idx="3">
                  <c:v>Reserva da Consorisio Casa</c:v>
                </c:pt>
              </c:strCache>
            </c:strRef>
          </c:cat>
          <c:val>
            <c:numRef>
              <c:f>fluxodeReservas!$C$3:$C$6</c:f>
              <c:numCache>
                <c:formatCode>_("R$"* #,##0.00_);_("R$"* \(#,##0.00\);_("R$"* "-"??_);_(@_)</c:formatCode>
                <c:ptCount val="4"/>
                <c:pt idx="0">
                  <c:v>853.74</c:v>
                </c:pt>
                <c:pt idx="1">
                  <c:v>0</c:v>
                </c:pt>
                <c:pt idx="2">
                  <c:v>200</c:v>
                </c:pt>
                <c:pt idx="3">
                  <c:v>700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bancoeValoresParaGasto!$C$2</c:f>
              <c:strCache>
                <c:ptCount val="1"/>
                <c:pt idx="0">
                  <c:v>Valores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solidFill>
                <a:sysClr val="windowText" lastClr="000000">
                  <a:lumMod val="65000"/>
                  <a:lumOff val="35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bancoeValoresParaGasto!$B$3:$B$7</c:f>
              <c:strCache>
                <c:ptCount val="5"/>
                <c:pt idx="0">
                  <c:v>Nubank</c:v>
                </c:pt>
                <c:pt idx="1">
                  <c:v>Bradesco</c:v>
                </c:pt>
                <c:pt idx="2">
                  <c:v>Next</c:v>
                </c:pt>
                <c:pt idx="3">
                  <c:v>Carteira</c:v>
                </c:pt>
                <c:pt idx="4">
                  <c:v>PicPay</c:v>
                </c:pt>
              </c:strCache>
            </c:strRef>
          </c:cat>
          <c:val>
            <c:numRef>
              <c:f>bancoeValoresParaGasto!$C$3:$C$7</c:f>
              <c:numCache>
                <c:formatCode>_("R$"* #,##0.00_);_("R$"* \(#,##0.00\);_("R$"* "-"??_);_(@_)</c:formatCode>
                <c:ptCount val="5"/>
                <c:pt idx="0">
                  <c:v>0.31</c:v>
                </c:pt>
                <c:pt idx="1">
                  <c:v>0</c:v>
                </c:pt>
                <c:pt idx="2">
                  <c:v>200</c:v>
                </c:pt>
                <c:pt idx="3">
                  <c:v>527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1.png"/><Relationship Id="rId7" Type="http://schemas.openxmlformats.org/officeDocument/2006/relationships/image" Target="../media/image4.png"/><Relationship Id="rId2" Type="http://schemas.openxmlformats.org/officeDocument/2006/relationships/hyperlink" Target="#acumulado!A1"/><Relationship Id="rId1" Type="http://schemas.openxmlformats.org/officeDocument/2006/relationships/hyperlink" Target="#dashBoard!A1"/><Relationship Id="rId6" Type="http://schemas.openxmlformats.org/officeDocument/2006/relationships/hyperlink" Target="#base!A1"/><Relationship Id="rId5" Type="http://schemas.openxmlformats.org/officeDocument/2006/relationships/image" Target="../media/image3.png"/><Relationship Id="rId10" Type="http://schemas.openxmlformats.org/officeDocument/2006/relationships/chart" Target="../charts/chart3.xml"/><Relationship Id="rId4" Type="http://schemas.openxmlformats.org/officeDocument/2006/relationships/image" Target="../media/image2.png"/><Relationship Id="rId9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461458</xdr:colOff>
      <xdr:row>0</xdr:row>
      <xdr:rowOff>78084</xdr:rowOff>
    </xdr:from>
    <xdr:to>
      <xdr:col>32</xdr:col>
      <xdr:colOff>537307</xdr:colOff>
      <xdr:row>32</xdr:row>
      <xdr:rowOff>145162</xdr:rowOff>
    </xdr:to>
    <xdr:sp macro="" textlink="">
      <xdr:nvSpPr>
        <xdr:cNvPr id="3" name="Retângulo Arredondado 2"/>
        <xdr:cNvSpPr/>
      </xdr:nvSpPr>
      <xdr:spPr>
        <a:xfrm>
          <a:off x="461458" y="78084"/>
          <a:ext cx="19614311" cy="6319386"/>
        </a:xfrm>
        <a:prstGeom prst="roundRect">
          <a:avLst>
            <a:gd name="adj" fmla="val 7616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101714</xdr:colOff>
      <xdr:row>0</xdr:row>
      <xdr:rowOff>66261</xdr:rowOff>
    </xdr:from>
    <xdr:to>
      <xdr:col>6</xdr:col>
      <xdr:colOff>121227</xdr:colOff>
      <xdr:row>32</xdr:row>
      <xdr:rowOff>149087</xdr:rowOff>
    </xdr:to>
    <xdr:sp macro="" textlink="">
      <xdr:nvSpPr>
        <xdr:cNvPr id="4" name="Retângulo Arredondado 3"/>
        <xdr:cNvSpPr/>
      </xdr:nvSpPr>
      <xdr:spPr>
        <a:xfrm>
          <a:off x="101714" y="66261"/>
          <a:ext cx="3696991" cy="6178826"/>
        </a:xfrm>
        <a:prstGeom prst="roundRect">
          <a:avLst>
            <a:gd name="adj" fmla="val 12988"/>
          </a:avLst>
        </a:prstGeom>
        <a:solidFill>
          <a:srgbClr val="0066CC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547937</xdr:colOff>
      <xdr:row>1</xdr:row>
      <xdr:rowOff>108857</xdr:rowOff>
    </xdr:from>
    <xdr:to>
      <xdr:col>20</xdr:col>
      <xdr:colOff>446315</xdr:colOff>
      <xdr:row>31</xdr:row>
      <xdr:rowOff>163286</xdr:rowOff>
    </xdr:to>
    <xdr:sp macro="" textlink="">
      <xdr:nvSpPr>
        <xdr:cNvPr id="6" name="Retângulo Arredondado 5"/>
        <xdr:cNvSpPr/>
      </xdr:nvSpPr>
      <xdr:spPr>
        <a:xfrm>
          <a:off x="4270851" y="293914"/>
          <a:ext cx="8585178" cy="5606143"/>
        </a:xfrm>
        <a:prstGeom prst="roundRect">
          <a:avLst>
            <a:gd name="adj" fmla="val 1195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467455</xdr:colOff>
      <xdr:row>15</xdr:row>
      <xdr:rowOff>62394</xdr:rowOff>
    </xdr:from>
    <xdr:to>
      <xdr:col>5</xdr:col>
      <xdr:colOff>222527</xdr:colOff>
      <xdr:row>18</xdr:row>
      <xdr:rowOff>48787</xdr:rowOff>
    </xdr:to>
    <xdr:sp macro="" textlink="">
      <xdr:nvSpPr>
        <xdr:cNvPr id="11" name="Retângulo Arredondado 10">
          <a:hlinkClick xmlns:r="http://schemas.openxmlformats.org/officeDocument/2006/relationships" r:id="rId1"/>
        </xdr:cNvPr>
        <xdr:cNvSpPr/>
      </xdr:nvSpPr>
      <xdr:spPr>
        <a:xfrm>
          <a:off x="467455" y="2850199"/>
          <a:ext cx="2775194" cy="543954"/>
        </a:xfrm>
        <a:prstGeom prst="roundRect">
          <a:avLst>
            <a:gd name="adj" fmla="val 47619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latin typeface="HP Simplified" panose="020B0606020204020204" pitchFamily="34" charset="0"/>
            </a:rPr>
            <a:t>DashBoard</a:t>
          </a:r>
          <a:endParaRPr lang="pt-BR" sz="1100" b="1">
            <a:latin typeface="HP Simplified" panose="020B0606020204020204" pitchFamily="34" charset="0"/>
          </a:endParaRPr>
        </a:p>
      </xdr:txBody>
    </xdr:sp>
    <xdr:clientData/>
  </xdr:twoCellAnchor>
  <xdr:twoCellAnchor>
    <xdr:from>
      <xdr:col>0</xdr:col>
      <xdr:colOff>432606</xdr:colOff>
      <xdr:row>18</xdr:row>
      <xdr:rowOff>88016</xdr:rowOff>
    </xdr:from>
    <xdr:to>
      <xdr:col>5</xdr:col>
      <xdr:colOff>187678</xdr:colOff>
      <xdr:row>21</xdr:row>
      <xdr:rowOff>74409</xdr:rowOff>
    </xdr:to>
    <xdr:sp macro="[0]!exibicaoFluxo_Caixa" textlink="">
      <xdr:nvSpPr>
        <xdr:cNvPr id="14" name="Retângulo Arredondado 13"/>
        <xdr:cNvSpPr/>
      </xdr:nvSpPr>
      <xdr:spPr>
        <a:xfrm>
          <a:off x="432606" y="3433382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Fluxo de Caixa</a:t>
          </a:r>
          <a:endParaRPr lang="pt-BR" sz="1100"/>
        </a:p>
      </xdr:txBody>
    </xdr:sp>
    <xdr:clientData/>
  </xdr:twoCellAnchor>
  <xdr:twoCellAnchor>
    <xdr:from>
      <xdr:col>0</xdr:col>
      <xdr:colOff>455839</xdr:colOff>
      <xdr:row>21</xdr:row>
      <xdr:rowOff>141514</xdr:rowOff>
    </xdr:from>
    <xdr:to>
      <xdr:col>5</xdr:col>
      <xdr:colOff>210911</xdr:colOff>
      <xdr:row>24</xdr:row>
      <xdr:rowOff>127907</xdr:rowOff>
    </xdr:to>
    <xdr:sp macro="" textlink="">
      <xdr:nvSpPr>
        <xdr:cNvPr id="16" name="Retângulo Arredondado 15">
          <a:hlinkClick xmlns:r="http://schemas.openxmlformats.org/officeDocument/2006/relationships" r:id="rId2"/>
        </xdr:cNvPr>
        <xdr:cNvSpPr/>
      </xdr:nvSpPr>
      <xdr:spPr>
        <a:xfrm>
          <a:off x="455839" y="4044441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Acumulados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455839</xdr:colOff>
      <xdr:row>25</xdr:row>
      <xdr:rowOff>21772</xdr:rowOff>
    </xdr:from>
    <xdr:to>
      <xdr:col>5</xdr:col>
      <xdr:colOff>210911</xdr:colOff>
      <xdr:row>28</xdr:row>
      <xdr:rowOff>8165</xdr:rowOff>
    </xdr:to>
    <xdr:sp macro="" textlink="">
      <xdr:nvSpPr>
        <xdr:cNvPr id="17" name="Retângulo Arredondado 16"/>
        <xdr:cNvSpPr/>
      </xdr:nvSpPr>
      <xdr:spPr>
        <a:xfrm>
          <a:off x="455839" y="4668113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Chaves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517860</xdr:colOff>
      <xdr:row>28</xdr:row>
      <xdr:rowOff>119745</xdr:rowOff>
    </xdr:from>
    <xdr:to>
      <xdr:col>2</xdr:col>
      <xdr:colOff>585895</xdr:colOff>
      <xdr:row>31</xdr:row>
      <xdr:rowOff>95251</xdr:rowOff>
    </xdr:to>
    <xdr:sp macro="" textlink="">
      <xdr:nvSpPr>
        <xdr:cNvPr id="18" name="Retângulo Arredondado 17"/>
        <xdr:cNvSpPr/>
      </xdr:nvSpPr>
      <xdr:spPr>
        <a:xfrm>
          <a:off x="517860" y="5531049"/>
          <a:ext cx="1282818" cy="555289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100691</xdr:colOff>
      <xdr:row>28</xdr:row>
      <xdr:rowOff>111582</xdr:rowOff>
    </xdr:from>
    <xdr:to>
      <xdr:col>5</xdr:col>
      <xdr:colOff>152400</xdr:colOff>
      <xdr:row>31</xdr:row>
      <xdr:rowOff>87088</xdr:rowOff>
    </xdr:to>
    <xdr:sp macro="[0]!Sair" textlink="">
      <xdr:nvSpPr>
        <xdr:cNvPr id="19" name="Retângulo Arredondado 18"/>
        <xdr:cNvSpPr/>
      </xdr:nvSpPr>
      <xdr:spPr>
        <a:xfrm>
          <a:off x="1929491" y="5445582"/>
          <a:ext cx="1270909" cy="547006"/>
        </a:xfrm>
        <a:prstGeom prst="roundRect">
          <a:avLst>
            <a:gd name="adj" fmla="val 47619"/>
          </a:avLst>
        </a:prstGeom>
        <a:gradFill flip="none" rotWithShape="1">
          <a:gsLst>
            <a:gs pos="0">
              <a:schemeClr val="accent5">
                <a:lumMod val="75000"/>
                <a:shade val="30000"/>
                <a:satMod val="115000"/>
              </a:schemeClr>
            </a:gs>
            <a:gs pos="50000">
              <a:schemeClr val="accent5">
                <a:lumMod val="75000"/>
                <a:shade val="67500"/>
                <a:satMod val="115000"/>
              </a:schemeClr>
            </a:gs>
            <a:gs pos="100000">
              <a:schemeClr val="accent5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Sair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387969</xdr:colOff>
      <xdr:row>1</xdr:row>
      <xdr:rowOff>180213</xdr:rowOff>
    </xdr:from>
    <xdr:to>
      <xdr:col>3</xdr:col>
      <xdr:colOff>499481</xdr:colOff>
      <xdr:row>5</xdr:row>
      <xdr:rowOff>81311</xdr:rowOff>
    </xdr:to>
    <xdr:sp macro="" textlink="">
      <xdr:nvSpPr>
        <xdr:cNvPr id="23" name="CaixaDeTexto 22"/>
        <xdr:cNvSpPr txBox="1"/>
      </xdr:nvSpPr>
      <xdr:spPr>
        <a:xfrm>
          <a:off x="387969" y="366067"/>
          <a:ext cx="1923585" cy="644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800" b="1" i="1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João Dash</a:t>
          </a:r>
          <a:endParaRPr kumimoji="0" lang="pt-BR" sz="1400" b="1" i="1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endParaRPr lang="pt-BR" sz="1400"/>
        </a:p>
      </xdr:txBody>
    </xdr:sp>
    <xdr:clientData/>
  </xdr:twoCellAnchor>
  <xdr:twoCellAnchor>
    <xdr:from>
      <xdr:col>3</xdr:col>
      <xdr:colOff>182232</xdr:colOff>
      <xdr:row>6</xdr:row>
      <xdr:rowOff>81312</xdr:rowOff>
    </xdr:from>
    <xdr:to>
      <xdr:col>5</xdr:col>
      <xdr:colOff>557560</xdr:colOff>
      <xdr:row>12</xdr:row>
      <xdr:rowOff>69696</xdr:rowOff>
    </xdr:to>
    <xdr:sp macro="" textlink="">
      <xdr:nvSpPr>
        <xdr:cNvPr id="41" name="Retângulo Arredondado 40"/>
        <xdr:cNvSpPr/>
      </xdr:nvSpPr>
      <xdr:spPr>
        <a:xfrm>
          <a:off x="1994305" y="1196434"/>
          <a:ext cx="1583377" cy="1103506"/>
        </a:xfrm>
        <a:prstGeom prst="roundRect">
          <a:avLst>
            <a:gd name="adj" fmla="val 41954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285750</xdr:colOff>
      <xdr:row>9</xdr:row>
      <xdr:rowOff>34849</xdr:rowOff>
    </xdr:from>
    <xdr:to>
      <xdr:col>5</xdr:col>
      <xdr:colOff>406554</xdr:colOff>
      <xdr:row>11</xdr:row>
      <xdr:rowOff>69696</xdr:rowOff>
    </xdr:to>
    <xdr:sp macro="" textlink="base!K2">
      <xdr:nvSpPr>
        <xdr:cNvPr id="42" name="CaixaDeTexto 41"/>
        <xdr:cNvSpPr txBox="1"/>
      </xdr:nvSpPr>
      <xdr:spPr>
        <a:xfrm>
          <a:off x="2114550" y="1749349"/>
          <a:ext cx="1340004" cy="41584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126BB001-FDAA-4C2A-BA68-6E633F9ECC24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R$ -   </a:t>
          </a:fld>
          <a:endParaRPr lang="en-US" sz="1600"/>
        </a:p>
      </xdr:txBody>
    </xdr:sp>
    <xdr:clientData/>
  </xdr:twoCellAnchor>
  <xdr:twoCellAnchor>
    <xdr:from>
      <xdr:col>3</xdr:col>
      <xdr:colOff>325243</xdr:colOff>
      <xdr:row>7</xdr:row>
      <xdr:rowOff>116158</xdr:rowOff>
    </xdr:from>
    <xdr:to>
      <xdr:col>5</xdr:col>
      <xdr:colOff>441401</xdr:colOff>
      <xdr:row>8</xdr:row>
      <xdr:rowOff>174237</xdr:rowOff>
    </xdr:to>
    <xdr:sp macro="" textlink="">
      <xdr:nvSpPr>
        <xdr:cNvPr id="44" name="CaixaDeTexto 43"/>
        <xdr:cNvSpPr txBox="1"/>
      </xdr:nvSpPr>
      <xdr:spPr>
        <a:xfrm>
          <a:off x="2137316" y="1417134"/>
          <a:ext cx="1324207" cy="24393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 u="none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Valores</a:t>
          </a:r>
          <a:r>
            <a:rPr lang="pt-BR" sz="1400" baseline="0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 </a:t>
          </a:r>
          <a:r>
            <a:rPr lang="pt-BR" sz="1400" b="1" u="none" baseline="0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Atuais</a:t>
          </a:r>
          <a:endParaRPr lang="pt-BR" sz="1400" b="1" u="none">
            <a:solidFill>
              <a:schemeClr val="tx1">
                <a:lumMod val="65000"/>
                <a:lumOff val="35000"/>
              </a:schemeClr>
            </a:solidFill>
            <a:latin typeface="HP Simplified" panose="020B0606020204020204" pitchFamily="34" charset="0"/>
          </a:endParaRPr>
        </a:p>
      </xdr:txBody>
    </xdr:sp>
    <xdr:clientData/>
  </xdr:twoCellAnchor>
  <xdr:twoCellAnchor editAs="oneCell">
    <xdr:from>
      <xdr:col>4</xdr:col>
      <xdr:colOff>58079</xdr:colOff>
      <xdr:row>15</xdr:row>
      <xdr:rowOff>127775</xdr:rowOff>
    </xdr:from>
    <xdr:to>
      <xdr:col>4</xdr:col>
      <xdr:colOff>577375</xdr:colOff>
      <xdr:row>18</xdr:row>
      <xdr:rowOff>34847</xdr:rowOff>
    </xdr:to>
    <xdr:pic>
      <xdr:nvPicPr>
        <xdr:cNvPr id="47" name="Imagem 4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4177" y="2915580"/>
          <a:ext cx="519296" cy="464633"/>
        </a:xfrm>
        <a:prstGeom prst="rect">
          <a:avLst/>
        </a:prstGeom>
      </xdr:spPr>
    </xdr:pic>
    <xdr:clientData/>
  </xdr:twoCellAnchor>
  <xdr:twoCellAnchor editAs="oneCell">
    <xdr:from>
      <xdr:col>4</xdr:col>
      <xdr:colOff>174237</xdr:colOff>
      <xdr:row>18</xdr:row>
      <xdr:rowOff>128858</xdr:rowOff>
    </xdr:from>
    <xdr:to>
      <xdr:col>4</xdr:col>
      <xdr:colOff>596900</xdr:colOff>
      <xdr:row>20</xdr:row>
      <xdr:rowOff>178237</xdr:rowOff>
    </xdr:to>
    <xdr:pic>
      <xdr:nvPicPr>
        <xdr:cNvPr id="49" name="Imagem 4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6545" y="3645781"/>
          <a:ext cx="422663" cy="440148"/>
        </a:xfrm>
        <a:prstGeom prst="rect">
          <a:avLst/>
        </a:prstGeom>
      </xdr:spPr>
    </xdr:pic>
    <xdr:clientData/>
  </xdr:twoCellAnchor>
  <xdr:twoCellAnchor editAs="oneCell">
    <xdr:from>
      <xdr:col>0</xdr:col>
      <xdr:colOff>545945</xdr:colOff>
      <xdr:row>6</xdr:row>
      <xdr:rowOff>139390</xdr:rowOff>
    </xdr:from>
    <xdr:to>
      <xdr:col>2</xdr:col>
      <xdr:colOff>423746</xdr:colOff>
      <xdr:row>11</xdr:row>
      <xdr:rowOff>181672</xdr:rowOff>
    </xdr:to>
    <xdr:pic>
      <xdr:nvPicPr>
        <xdr:cNvPr id="48" name="Imagem 4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945" y="1254512"/>
          <a:ext cx="1085850" cy="971550"/>
        </a:xfrm>
        <a:prstGeom prst="rect">
          <a:avLst/>
        </a:prstGeom>
      </xdr:spPr>
    </xdr:pic>
    <xdr:clientData/>
  </xdr:twoCellAnchor>
  <xdr:twoCellAnchor>
    <xdr:from>
      <xdr:col>4</xdr:col>
      <xdr:colOff>156799</xdr:colOff>
      <xdr:row>2</xdr:row>
      <xdr:rowOff>16368</xdr:rowOff>
    </xdr:from>
    <xdr:to>
      <xdr:col>5</xdr:col>
      <xdr:colOff>509475</xdr:colOff>
      <xdr:row>3</xdr:row>
      <xdr:rowOff>155058</xdr:rowOff>
    </xdr:to>
    <xdr:sp macro="[0]!atualizandoDashboard" textlink="">
      <xdr:nvSpPr>
        <xdr:cNvPr id="30" name="Retângulo Arredondado 29"/>
        <xdr:cNvSpPr/>
      </xdr:nvSpPr>
      <xdr:spPr>
        <a:xfrm>
          <a:off x="2593427" y="392938"/>
          <a:ext cx="961833" cy="326975"/>
        </a:xfrm>
        <a:prstGeom prst="roundRect">
          <a:avLst>
            <a:gd name="adj" fmla="val 47619"/>
          </a:avLst>
        </a:prstGeom>
        <a:gradFill flip="none" rotWithShape="1">
          <a:gsLst>
            <a:gs pos="0">
              <a:srgbClr val="0099FF">
                <a:shade val="30000"/>
                <a:satMod val="115000"/>
              </a:srgbClr>
            </a:gs>
            <a:gs pos="50000">
              <a:srgbClr val="0099FF">
                <a:shade val="67500"/>
                <a:satMod val="115000"/>
              </a:srgbClr>
            </a:gs>
            <a:gs pos="100000">
              <a:srgbClr val="0099FF">
                <a:shade val="100000"/>
                <a:satMod val="115000"/>
              </a:srgbClr>
            </a:gs>
          </a:gsLst>
          <a:lin ang="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Atualizar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342900</xdr:colOff>
      <xdr:row>29</xdr:row>
      <xdr:rowOff>12700</xdr:rowOff>
    </xdr:from>
    <xdr:to>
      <xdr:col>2</xdr:col>
      <xdr:colOff>139700</xdr:colOff>
      <xdr:row>31</xdr:row>
      <xdr:rowOff>38100</xdr:rowOff>
    </xdr:to>
    <xdr:pic>
      <xdr:nvPicPr>
        <xdr:cNvPr id="2" name="Imagem 1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5537200"/>
          <a:ext cx="406400" cy="406400"/>
        </a:xfrm>
        <a:prstGeom prst="rect">
          <a:avLst/>
        </a:prstGeom>
      </xdr:spPr>
    </xdr:pic>
    <xdr:clientData/>
  </xdr:twoCellAnchor>
  <xdr:twoCellAnchor>
    <xdr:from>
      <xdr:col>7</xdr:col>
      <xdr:colOff>571501</xdr:colOff>
      <xdr:row>3</xdr:row>
      <xdr:rowOff>10886</xdr:rowOff>
    </xdr:from>
    <xdr:to>
      <xdr:col>19</xdr:col>
      <xdr:colOff>239486</xdr:colOff>
      <xdr:row>29</xdr:row>
      <xdr:rowOff>136070</xdr:rowOff>
    </xdr:to>
    <xdr:graphicFrame macro="">
      <xdr:nvGraphicFramePr>
        <xdr:cNvPr id="29" name="Gráfico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13607</xdr:colOff>
      <xdr:row>0</xdr:row>
      <xdr:rowOff>116183</xdr:rowOff>
    </xdr:from>
    <xdr:to>
      <xdr:col>28</xdr:col>
      <xdr:colOff>97971</xdr:colOff>
      <xdr:row>16</xdr:row>
      <xdr:rowOff>43542</xdr:rowOff>
    </xdr:to>
    <xdr:sp macro="" textlink="">
      <xdr:nvSpPr>
        <xdr:cNvPr id="34" name="Retângulo Arredondado 5"/>
        <xdr:cNvSpPr/>
      </xdr:nvSpPr>
      <xdr:spPr>
        <a:xfrm>
          <a:off x="13043807" y="116183"/>
          <a:ext cx="4427764" cy="2888273"/>
        </a:xfrm>
        <a:prstGeom prst="roundRect">
          <a:avLst>
            <a:gd name="adj" fmla="val 1195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370114</xdr:colOff>
      <xdr:row>1</xdr:row>
      <xdr:rowOff>137956</xdr:rowOff>
    </xdr:from>
    <xdr:to>
      <xdr:col>27</xdr:col>
      <xdr:colOff>402771</xdr:colOff>
      <xdr:row>15</xdr:row>
      <xdr:rowOff>54430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601435</xdr:colOff>
      <xdr:row>16</xdr:row>
      <xdr:rowOff>148840</xdr:rowOff>
    </xdr:from>
    <xdr:to>
      <xdr:col>28</xdr:col>
      <xdr:colOff>65313</xdr:colOff>
      <xdr:row>31</xdr:row>
      <xdr:rowOff>97972</xdr:rowOff>
    </xdr:to>
    <xdr:sp macro="" textlink="">
      <xdr:nvSpPr>
        <xdr:cNvPr id="24" name="Retângulo Arredondado 5"/>
        <xdr:cNvSpPr/>
      </xdr:nvSpPr>
      <xdr:spPr>
        <a:xfrm>
          <a:off x="13011149" y="3109754"/>
          <a:ext cx="4427764" cy="2724989"/>
        </a:xfrm>
        <a:prstGeom prst="roundRect">
          <a:avLst>
            <a:gd name="adj" fmla="val 1195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272144</xdr:colOff>
      <xdr:row>17</xdr:row>
      <xdr:rowOff>97970</xdr:rowOff>
    </xdr:from>
    <xdr:to>
      <xdr:col>27</xdr:col>
      <xdr:colOff>478973</xdr:colOff>
      <xdr:row>29</xdr:row>
      <xdr:rowOff>141513</xdr:rowOff>
    </xdr:to>
    <xdr:graphicFrame macro="">
      <xdr:nvGraphicFramePr>
        <xdr:cNvPr id="25" name="Gráfico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9" name="Tabela10" displayName="Tabela10" ref="B10:C13" totalsRowShown="0">
  <autoFilter ref="B10:C13"/>
  <tableColumns count="2">
    <tableColumn id="1" name="Data" dataDxfId="16"/>
    <tableColumn id="2" name="Valores Fechamento" dataDxfId="15" dataCellStyle="Moeda"/>
  </tableColumns>
  <tableStyleInfo name="TableStyleLight6" showFirstColumn="0" showLastColumn="0" showRowStripes="1" showColumnStripes="0"/>
</table>
</file>

<file path=xl/tables/table2.xml><?xml version="1.0" encoding="utf-8"?>
<table xmlns="http://schemas.openxmlformats.org/spreadsheetml/2006/main" id="10" name="Tabela11" displayName="Tabela11" ref="E10:F13" totalsRowShown="0">
  <autoFilter ref="E10:F13"/>
  <tableColumns count="2">
    <tableColumn id="1" name="Data" dataDxfId="14"/>
    <tableColumn id="2" name="Valores Fechamento" dataDxfId="13" dataCellStyle="Moeda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id="11" name="Tabela12" displayName="Tabela12" ref="H10:I13" totalsRowShown="0">
  <autoFilter ref="H10:I13"/>
  <tableColumns count="2">
    <tableColumn id="1" name="Data" dataDxfId="12"/>
    <tableColumn id="2" name="Valores Fechamento" dataDxfId="11" dataCellStyle="Moeda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12" name="Tabela13" displayName="Tabela13" ref="K10:L13" totalsRowShown="0">
  <autoFilter ref="K10:L13"/>
  <tableColumns count="2">
    <tableColumn id="1" name="Data" dataDxfId="10"/>
    <tableColumn id="2" name="Valores Fechamento" dataDxfId="9" dataCellStyle="Moeda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13" name="Tabela14" displayName="Tabela14" ref="N10:O13" totalsRowShown="0">
  <autoFilter ref="N10:O13"/>
  <tableColumns count="2">
    <tableColumn id="1" name="Data" dataDxfId="8"/>
    <tableColumn id="2" name="Valores Fechamento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14" name="Tabela15" displayName="Tabela15" ref="B2:C7" totalsRowShown="0" headerRowDxfId="4" dataDxfId="5">
  <autoFilter ref="B2:C7"/>
  <tableColumns count="2">
    <tableColumn id="1" name="Bancos ou Locais" dataDxfId="7"/>
    <tableColumn id="2" name="Valores" dataDxfId="6" dataCellStyle="Moeda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3" name="Tabela3" displayName="Tabela3" ref="B11:E15" totalsRowShown="0">
  <autoFilter ref="B11:E15"/>
  <tableColumns count="4">
    <tableColumn id="1" name="Data"/>
    <tableColumn id="2" name="Descricao"/>
    <tableColumn id="3" name="Valor"/>
    <tableColumn id="4" name="Saldo" dataDxfId="19">
      <calculatedColumnFormula>SUM(E11+D11)</calculatedColumnFormula>
    </tableColumn>
  </tableColumns>
  <tableStyleInfo name="TableStyleMedium25" showFirstColumn="0" showLastColumn="0" showRowStripes="1" showColumnStripes="0"/>
</table>
</file>

<file path=xl/tables/table8.xml><?xml version="1.0" encoding="utf-8"?>
<table xmlns="http://schemas.openxmlformats.org/spreadsheetml/2006/main" id="4" name="Tabela35" displayName="Tabela35" ref="G11:J15" totalsRowShown="0">
  <autoFilter ref="G11:J15"/>
  <tableColumns count="4">
    <tableColumn id="1" name="Data"/>
    <tableColumn id="2" name="Descricao"/>
    <tableColumn id="3" name="Valor"/>
    <tableColumn id="4" name="Saldo" dataDxfId="51">
      <calculatedColumnFormula>SUM(J11+I11)</calculatedColumnFormula>
    </tableColumn>
  </tableColumns>
  <tableStyleInfo name="TableStyleMedium25" showFirstColumn="0" showLastColumn="0" showRowStripes="1" showColumnStripes="0"/>
</table>
</file>

<file path=xl/tables/table9.xml><?xml version="1.0" encoding="utf-8"?>
<table xmlns="http://schemas.openxmlformats.org/spreadsheetml/2006/main" id="5" name="Tabela36" displayName="Tabela36" ref="L11:O14" totalsRowShown="0">
  <autoFilter ref="L11:O14"/>
  <tableColumns count="4">
    <tableColumn id="1" name="Data"/>
    <tableColumn id="2" name="Descricao"/>
    <tableColumn id="3" name="Valor"/>
    <tableColumn id="4" name="Saldo" dataDxfId="20">
      <calculatedColumnFormula>SUM(O11+N11)</calculatedColumnFormula>
    </tableColumn>
  </tableColumns>
  <tableStyleInfo name="TableStyleMedium25" showFirstColumn="0" showLastColumn="0" showRowStripes="1" showColumnStripes="0"/>
</table>
</file>

<file path=xl/tables/table10.xml><?xml version="1.0" encoding="utf-8"?>
<table xmlns="http://schemas.openxmlformats.org/spreadsheetml/2006/main" id="6" name="Tabela37" displayName="Tabela37" ref="Q11:T14" totalsRowShown="0">
  <autoFilter ref="Q11:T14"/>
  <tableColumns count="4">
    <tableColumn id="1" name="Data"/>
    <tableColumn id="2" name="Descricao"/>
    <tableColumn id="3" name="Valor"/>
    <tableColumn id="4" name="Saldo" dataDxfId="50">
      <calculatedColumnFormula>SUM(T11+S11)</calculatedColumnFormula>
    </tableColumn>
  </tableColumns>
  <tableStyleInfo name="TableStyleMedium25" showFirstColumn="0" showLastColumn="0" showRowStripes="1" showColumnStripes="0"/>
</table>
</file>

<file path=xl/tables/table11.xml><?xml version="1.0" encoding="utf-8"?>
<table xmlns="http://schemas.openxmlformats.org/spreadsheetml/2006/main" id="1" name="Tabela1" displayName="Tabela1" ref="B2:C6" totalsRowShown="0" headerRowDxfId="17">
  <autoFilter ref="B2:C6"/>
  <tableColumns count="2">
    <tableColumn id="1" name="Local"/>
    <tableColumn id="2" name="Valor" dataDxfId="18" dataCellStyle="Moeda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id="2" name="Tabela2" displayName="Tabela2" ref="A1:I14" totalsRowShown="0" headerRowDxfId="49" dataDxfId="48" tableBorderDxfId="47">
  <autoFilter ref="A1:I14"/>
  <tableColumns count="9">
    <tableColumn id="1" name="ID" dataDxfId="46"/>
    <tableColumn id="2" name="Ano" dataDxfId="45"/>
    <tableColumn id="3" name="Mês" dataDxfId="44"/>
    <tableColumn id="4" name="Dia" dataDxfId="43"/>
    <tableColumn id="5" name="Descricao" dataDxfId="42"/>
    <tableColumn id="6" name="Tipo" dataDxfId="41" dataCellStyle="Moeda"/>
    <tableColumn id="7" name="Valor" dataDxfId="40" dataCellStyle="Moeda"/>
    <tableColumn id="8" name="Saldo" dataDxfId="39" dataCellStyle="Moeda"/>
    <tableColumn id="9" name="15" dataDxfId="38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id="8" name="Tabela9" displayName="Tabela9" ref="K4:V5" totalsRowShown="0" headerRowDxfId="37" dataDxfId="35" headerRowBorderDxfId="36" tableBorderDxfId="34" totalsRowBorderDxfId="33" dataCellStyle="Moeda">
  <autoFilter ref="K4:V5"/>
  <tableColumns count="12">
    <tableColumn id="1" name="Anos" dataDxfId="32" dataCellStyle="Moeda"/>
    <tableColumn id="11" name="Mês" dataDxfId="31" dataCellStyle="Moeda"/>
    <tableColumn id="2" name="Bens" dataDxfId="30" dataCellStyle="Moeda">
      <calculatedColumnFormula>SUMIFS(Tabela2[Valor],Tabela2[Ano],$K5,Tabela2[Mês],Tabela9[Mês],Tabela2[Tipo],$M$4)</calculatedColumnFormula>
    </tableColumn>
    <tableColumn id="3" name="Lazer" dataDxfId="29" dataCellStyle="Moeda">
      <calculatedColumnFormula>SUMIFS(Tabela2[Valor],Tabela2[Ano],$K5,Tabela2[Mês],Tabela9[Mês],Tabela2[Tipo],$N$4)</calculatedColumnFormula>
    </tableColumn>
    <tableColumn id="14" name="Academia" dataDxfId="28" dataCellStyle="Moeda">
      <calculatedColumnFormula>SUMIFS(Tabela2[Valor],Tabela2[Ano],$K5,Tabela2[Mês],Tabela9[Mês],Tabela2[Tipo],$O$4)</calculatedColumnFormula>
    </tableColumn>
    <tableColumn id="4" name="Alimentação" dataDxfId="27" dataCellStyle="Moeda">
      <calculatedColumnFormula>SUMIFS(Tabela2[Valor],Tabela2[Ano],$K5,Tabela2[Mês],Tabela9[Mês],Tabela2[Tipo],$P$4)</calculatedColumnFormula>
    </tableColumn>
    <tableColumn id="5" name="Cabelo" dataDxfId="26" dataCellStyle="Moeda">
      <calculatedColumnFormula>SUMIFS(Tabela2[Valor],Tabela2[Ano],$K5,Tabela2[Mês],Tabela9[Mês],Tabela2[Tipo],$Q$4)</calculatedColumnFormula>
    </tableColumn>
    <tableColumn id="6" name="DIzimo" dataDxfId="25" dataCellStyle="Moeda">
      <calculatedColumnFormula>SUMIFS(Tabela2[Valor],Tabela2[Ano],$K5,Tabela2[Mês],Tabela9[Mês],Tabela2[Tipo],$R$4)</calculatedColumnFormula>
    </tableColumn>
    <tableColumn id="7" name="Entradas" dataDxfId="24" dataCellStyle="Moeda">
      <calculatedColumnFormula>SUMIFS(Tabela2[Valor],Tabela2[Ano],$K5,Tabela2[Mês],Tabela9[Mês],Tabela2[Tipo],$S$4)</calculatedColumnFormula>
    </tableColumn>
    <tableColumn id="8" name="Outros" dataDxfId="23" dataCellStyle="Moeda">
      <calculatedColumnFormula>SUMIFS(Tabela2[Valor],Tabela2[Ano],$K5,Tabela2[Mês],Tabela9[Mês],Tabela2[Tipo],$T$4)</calculatedColumnFormula>
    </tableColumn>
    <tableColumn id="9" name="Racão" dataDxfId="22" dataCellStyle="Moeda">
      <calculatedColumnFormula>SUMIFS(Tabela2[Valor],Tabela2[Ano],$K5,Tabela2[Mês],Tabela9[Mês],Tabela2[Tipo],$U$4)</calculatedColumnFormula>
    </tableColumn>
    <tableColumn id="10" name="Total Gasto" dataDxfId="21" dataCellStyle="Moeda">
      <calculatedColumnFormula>SUM(M5:R5,T5:U5)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>
      <selection activeCell="B3" sqref="B3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showGridLines="0" showRowColHeaders="0" tabSelected="1" topLeftCell="A10" zoomScale="70" zoomScaleNormal="70" workbookViewId="0">
      <selection activeCell="G38" sqref="G38"/>
    </sheetView>
  </sheetViews>
  <sheetFormatPr defaultColWidth="9.109375" defaultRowHeight="14.4" x14ac:dyDescent="0.3"/>
  <cols>
    <col min="1" max="16384" width="9.109375" style="2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O13"/>
  <sheetViews>
    <sheetView workbookViewId="0">
      <selection activeCell="L17" sqref="L17"/>
    </sheetView>
  </sheetViews>
  <sheetFormatPr defaultRowHeight="14.4" x14ac:dyDescent="0.3"/>
  <cols>
    <col min="1" max="1" width="11.33203125" bestFit="1" customWidth="1"/>
    <col min="2" max="2" width="32.33203125" bestFit="1" customWidth="1"/>
    <col min="3" max="3" width="22.33203125" bestFit="1" customWidth="1"/>
    <col min="4" max="4" width="3.44140625" customWidth="1"/>
    <col min="5" max="5" width="10.6640625" bestFit="1" customWidth="1"/>
    <col min="6" max="6" width="19.5546875" customWidth="1"/>
    <col min="7" max="7" width="3.109375" customWidth="1"/>
    <col min="8" max="8" width="10.6640625" bestFit="1" customWidth="1"/>
    <col min="9" max="9" width="19.5546875" customWidth="1"/>
    <col min="10" max="10" width="3.33203125" customWidth="1"/>
    <col min="11" max="11" width="10.6640625" bestFit="1" customWidth="1"/>
    <col min="12" max="12" width="19.5546875" customWidth="1"/>
    <col min="13" max="13" width="2.6640625" customWidth="1"/>
    <col min="14" max="14" width="10.6640625" bestFit="1" customWidth="1"/>
    <col min="15" max="15" width="19.5546875" customWidth="1"/>
  </cols>
  <sheetData>
    <row r="1" spans="1:15" x14ac:dyDescent="0.3">
      <c r="B1" s="20" t="s">
        <v>49</v>
      </c>
      <c r="C1" s="20"/>
    </row>
    <row r="2" spans="1:15" x14ac:dyDescent="0.3">
      <c r="B2" s="19" t="s">
        <v>51</v>
      </c>
      <c r="C2" s="19" t="s">
        <v>50</v>
      </c>
    </row>
    <row r="3" spans="1:15" x14ac:dyDescent="0.3">
      <c r="B3" s="19" t="str">
        <f>B9</f>
        <v>Nubank</v>
      </c>
      <c r="C3" s="25">
        <f>INDEX(Tabela10[Valores Fechamento],MATCH(9.99999999999999E+307,Tabela10[Valores Fechamento]))</f>
        <v>0.31</v>
      </c>
    </row>
    <row r="4" spans="1:15" x14ac:dyDescent="0.3">
      <c r="B4" s="19" t="str">
        <f>E9</f>
        <v>Bradesco</v>
      </c>
      <c r="C4" s="25">
        <f>INDEX(Tabela11[Valores Fechamento],MATCH(9.99999999999999E+307,Tabela11[Valores Fechamento]))</f>
        <v>0</v>
      </c>
    </row>
    <row r="5" spans="1:15" x14ac:dyDescent="0.3">
      <c r="B5" s="19" t="str">
        <f>H9</f>
        <v>Next</v>
      </c>
      <c r="C5" s="25">
        <f>INDEX(Tabela12[Valores Fechamento],MATCH(9.99999999999999E+307,Tabela12[Valores Fechamento]))</f>
        <v>200</v>
      </c>
    </row>
    <row r="6" spans="1:15" x14ac:dyDescent="0.3">
      <c r="B6" s="19" t="str">
        <f>K9</f>
        <v>Carteira</v>
      </c>
      <c r="C6" s="25">
        <f>INDEX(Tabela13[Valores Fechamento],MATCH(9.99999999999999E+307,Tabela13[Valores Fechamento]))</f>
        <v>527</v>
      </c>
    </row>
    <row r="7" spans="1:15" x14ac:dyDescent="0.3">
      <c r="B7" s="19" t="str">
        <f>N9</f>
        <v>PicPay</v>
      </c>
      <c r="C7" s="25">
        <f>INDEX(Tabela14[Valores Fechamento],MATCH(9.99999999999999E+307,Tabela14[Valores Fechamento]))</f>
        <v>0</v>
      </c>
    </row>
    <row r="9" spans="1:15" x14ac:dyDescent="0.3">
      <c r="B9" s="20" t="s">
        <v>2</v>
      </c>
      <c r="C9" s="20"/>
      <c r="E9" s="20" t="s">
        <v>4</v>
      </c>
      <c r="F9" s="20"/>
      <c r="H9" s="20" t="s">
        <v>3</v>
      </c>
      <c r="I9" s="20"/>
      <c r="K9" s="20" t="s">
        <v>28</v>
      </c>
      <c r="L9" s="20"/>
      <c r="N9" s="20" t="s">
        <v>30</v>
      </c>
      <c r="O9" s="20"/>
    </row>
    <row r="10" spans="1:15" x14ac:dyDescent="0.3">
      <c r="B10" t="s">
        <v>27</v>
      </c>
      <c r="C10" t="s">
        <v>29</v>
      </c>
      <c r="E10" t="s">
        <v>27</v>
      </c>
      <c r="F10" t="s">
        <v>29</v>
      </c>
      <c r="H10" t="s">
        <v>27</v>
      </c>
      <c r="I10" t="s">
        <v>29</v>
      </c>
      <c r="K10" t="s">
        <v>27</v>
      </c>
      <c r="L10" t="s">
        <v>29</v>
      </c>
      <c r="N10" t="s">
        <v>27</v>
      </c>
      <c r="O10" t="s">
        <v>29</v>
      </c>
    </row>
    <row r="11" spans="1:15" x14ac:dyDescent="0.3">
      <c r="B11" s="18">
        <v>44561</v>
      </c>
      <c r="C11" s="1">
        <v>51</v>
      </c>
      <c r="E11" s="18">
        <v>44561</v>
      </c>
      <c r="F11" s="1">
        <v>0</v>
      </c>
      <c r="H11" s="18">
        <v>44561</v>
      </c>
      <c r="I11" s="1">
        <v>160</v>
      </c>
      <c r="K11" s="18">
        <v>44561</v>
      </c>
      <c r="L11" s="1">
        <v>57</v>
      </c>
      <c r="N11" s="18">
        <v>44561</v>
      </c>
      <c r="O11" s="1">
        <v>0</v>
      </c>
    </row>
    <row r="12" spans="1:15" x14ac:dyDescent="0.3">
      <c r="A12" t="s">
        <v>41</v>
      </c>
      <c r="B12" s="18">
        <v>44562</v>
      </c>
      <c r="C12" s="1">
        <v>652</v>
      </c>
      <c r="E12" s="18">
        <v>44562</v>
      </c>
      <c r="F12" s="1">
        <v>0</v>
      </c>
      <c r="H12" s="18">
        <v>44562</v>
      </c>
      <c r="I12" s="1">
        <v>200</v>
      </c>
      <c r="K12" s="18">
        <v>44562</v>
      </c>
      <c r="L12" s="1">
        <v>567.45000000000005</v>
      </c>
      <c r="N12" s="18">
        <v>44562</v>
      </c>
    </row>
    <row r="13" spans="1:15" x14ac:dyDescent="0.3">
      <c r="B13" s="18">
        <v>44590</v>
      </c>
      <c r="C13" s="1">
        <v>0.31</v>
      </c>
      <c r="E13" s="18">
        <v>44590</v>
      </c>
      <c r="F13" s="1">
        <v>0</v>
      </c>
      <c r="H13" s="18">
        <v>44590</v>
      </c>
      <c r="I13" s="1">
        <v>200</v>
      </c>
      <c r="K13" s="18">
        <v>44590</v>
      </c>
      <c r="L13" s="1">
        <v>527</v>
      </c>
      <c r="N13" s="18">
        <v>44590</v>
      </c>
    </row>
  </sheetData>
  <mergeCells count="6">
    <mergeCell ref="B1:C1"/>
    <mergeCell ref="B9:C9"/>
    <mergeCell ref="E9:F9"/>
    <mergeCell ref="H9:I9"/>
    <mergeCell ref="K9:L9"/>
    <mergeCell ref="N9:O9"/>
  </mergeCells>
  <pageMargins left="0.511811024" right="0.511811024" top="0.78740157499999996" bottom="0.78740157499999996" header="0.31496062000000002" footer="0.31496062000000002"/>
  <tableParts count="6">
    <tablePart r:id="rId1"/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1:T15"/>
  <sheetViews>
    <sheetView workbookViewId="0">
      <selection activeCell="B24" sqref="B24"/>
    </sheetView>
  </sheetViews>
  <sheetFormatPr defaultRowHeight="14.4" x14ac:dyDescent="0.3"/>
  <cols>
    <col min="2" max="2" width="25.5546875" bestFit="1" customWidth="1"/>
    <col min="3" max="3" width="21" customWidth="1"/>
    <col min="4" max="5" width="12.109375" bestFit="1" customWidth="1"/>
    <col min="6" max="6" width="4" customWidth="1"/>
    <col min="7" max="7" width="10.6640625" bestFit="1" customWidth="1"/>
    <col min="8" max="8" width="13.88671875" bestFit="1" customWidth="1"/>
    <col min="9" max="10" width="12.109375" bestFit="1" customWidth="1"/>
    <col min="11" max="11" width="3" customWidth="1"/>
    <col min="12" max="12" width="10.6640625" bestFit="1" customWidth="1"/>
    <col min="13" max="13" width="13.88671875" bestFit="1" customWidth="1"/>
    <col min="14" max="15" width="12.109375" bestFit="1" customWidth="1"/>
    <col min="16" max="16" width="4" customWidth="1"/>
    <col min="17" max="17" width="10.6640625" bestFit="1" customWidth="1"/>
    <col min="18" max="18" width="13.88671875" bestFit="1" customWidth="1"/>
    <col min="19" max="20" width="12.109375" bestFit="1" customWidth="1"/>
  </cols>
  <sheetData>
    <row r="1" spans="2:20" x14ac:dyDescent="0.3">
      <c r="B1" s="20" t="s">
        <v>47</v>
      </c>
      <c r="C1" s="20"/>
    </row>
    <row r="2" spans="2:20" x14ac:dyDescent="0.3">
      <c r="B2" s="19" t="s">
        <v>48</v>
      </c>
      <c r="C2" s="19" t="s">
        <v>22</v>
      </c>
    </row>
    <row r="3" spans="2:20" s="23" customFormat="1" x14ac:dyDescent="0.3">
      <c r="B3" s="23" t="str">
        <f>B10</f>
        <v>Reserva de Emergencia</v>
      </c>
      <c r="C3" s="24">
        <f>INDEX(Tabela3[Saldo],MATCH(9.99999999999999E+307,Tabela3[Saldo]))</f>
        <v>853.74</v>
      </c>
    </row>
    <row r="4" spans="2:20" x14ac:dyDescent="0.3">
      <c r="B4" t="str">
        <f>G10</f>
        <v>Plano de Medio a longo Prazo</v>
      </c>
      <c r="C4" s="1">
        <f>INDEX(Tabela35[Saldo],MATCH(9.99999999999999E+307,Tabela35[Saldo]))</f>
        <v>0</v>
      </c>
    </row>
    <row r="5" spans="2:20" x14ac:dyDescent="0.3">
      <c r="B5" s="23" t="str">
        <f>L10</f>
        <v>Aposentadoria</v>
      </c>
      <c r="C5" s="1">
        <f>INDEX(Tabela36[Saldo],MATCH(9.99999999999999E+307,Tabela36[Saldo]))</f>
        <v>200</v>
      </c>
    </row>
    <row r="6" spans="2:20" x14ac:dyDescent="0.3">
      <c r="B6" t="str">
        <f>Q10</f>
        <v>Reserva da Consorisio Casa</v>
      </c>
      <c r="C6" s="1">
        <f>INDEX(Tabela37[Saldo],MATCH(9.99999999999999E+307,Tabela37[Saldo]))</f>
        <v>700</v>
      </c>
    </row>
    <row r="9" spans="2:20" x14ac:dyDescent="0.3">
      <c r="B9" s="20" t="s">
        <v>31</v>
      </c>
      <c r="C9" s="20"/>
    </row>
    <row r="10" spans="2:20" x14ac:dyDescent="0.3">
      <c r="B10" s="20" t="s">
        <v>33</v>
      </c>
      <c r="C10" s="20"/>
      <c r="D10" s="20"/>
      <c r="E10" s="20"/>
      <c r="G10" s="20" t="s">
        <v>34</v>
      </c>
      <c r="H10" s="20"/>
      <c r="I10" s="20"/>
      <c r="J10" s="20"/>
      <c r="L10" s="20" t="s">
        <v>35</v>
      </c>
      <c r="M10" s="20"/>
      <c r="N10" s="20"/>
      <c r="O10" s="20"/>
      <c r="Q10" s="20" t="s">
        <v>36</v>
      </c>
      <c r="R10" s="20"/>
      <c r="S10" s="20"/>
      <c r="T10" s="20"/>
    </row>
    <row r="11" spans="2:20" x14ac:dyDescent="0.3">
      <c r="B11" t="s">
        <v>27</v>
      </c>
      <c r="C11" t="s">
        <v>25</v>
      </c>
      <c r="D11" t="s">
        <v>22</v>
      </c>
      <c r="E11" t="s">
        <v>23</v>
      </c>
      <c r="G11" t="s">
        <v>27</v>
      </c>
      <c r="H11" t="s">
        <v>25</v>
      </c>
      <c r="I11" t="s">
        <v>22</v>
      </c>
      <c r="J11" t="s">
        <v>23</v>
      </c>
      <c r="L11" t="s">
        <v>27</v>
      </c>
      <c r="M11" t="s">
        <v>25</v>
      </c>
      <c r="N11" t="s">
        <v>22</v>
      </c>
      <c r="O11" t="s">
        <v>23</v>
      </c>
      <c r="Q11" t="s">
        <v>27</v>
      </c>
      <c r="R11" t="s">
        <v>25</v>
      </c>
      <c r="S11" t="s">
        <v>22</v>
      </c>
      <c r="T11" t="s">
        <v>23</v>
      </c>
    </row>
    <row r="12" spans="2:20" x14ac:dyDescent="0.3">
      <c r="B12" s="18">
        <v>44197</v>
      </c>
      <c r="C12" t="s">
        <v>32</v>
      </c>
      <c r="D12" s="1">
        <v>1813.74</v>
      </c>
      <c r="E12" s="9">
        <v>0</v>
      </c>
      <c r="G12" s="18">
        <v>44197</v>
      </c>
      <c r="H12" t="s">
        <v>32</v>
      </c>
      <c r="I12" s="1">
        <v>400</v>
      </c>
      <c r="J12" s="9">
        <v>0</v>
      </c>
      <c r="L12" s="18">
        <v>44197</v>
      </c>
      <c r="M12" t="s">
        <v>32</v>
      </c>
      <c r="N12" s="1">
        <v>160</v>
      </c>
      <c r="O12" s="9">
        <v>0</v>
      </c>
      <c r="Q12" s="18">
        <v>44197</v>
      </c>
      <c r="R12" t="s">
        <v>32</v>
      </c>
      <c r="S12" s="1">
        <v>600</v>
      </c>
      <c r="T12" s="9">
        <v>0</v>
      </c>
    </row>
    <row r="13" spans="2:20" x14ac:dyDescent="0.3">
      <c r="B13" s="18">
        <v>44205</v>
      </c>
      <c r="C13" t="s">
        <v>37</v>
      </c>
      <c r="D13" s="1">
        <v>40</v>
      </c>
      <c r="E13" s="9">
        <f>SUM(E12+D12)</f>
        <v>1813.74</v>
      </c>
      <c r="G13" s="18">
        <v>44205</v>
      </c>
      <c r="H13" t="s">
        <v>37</v>
      </c>
      <c r="I13" s="1">
        <v>200</v>
      </c>
      <c r="J13" s="9">
        <f>SUM(J12+I12)</f>
        <v>400</v>
      </c>
      <c r="L13" s="18">
        <v>44205</v>
      </c>
      <c r="M13" t="s">
        <v>37</v>
      </c>
      <c r="N13" s="1">
        <v>40</v>
      </c>
      <c r="O13" s="9">
        <f>SUM(O12+N12)</f>
        <v>160</v>
      </c>
      <c r="Q13" s="18">
        <v>44205</v>
      </c>
      <c r="R13" t="s">
        <v>37</v>
      </c>
      <c r="S13" s="1">
        <v>100</v>
      </c>
      <c r="T13" s="9">
        <f>SUM(T12+S12)</f>
        <v>600</v>
      </c>
    </row>
    <row r="14" spans="2:20" x14ac:dyDescent="0.3">
      <c r="B14" s="18">
        <v>44206</v>
      </c>
      <c r="C14" t="s">
        <v>44</v>
      </c>
      <c r="D14" s="1">
        <v>-1000</v>
      </c>
      <c r="E14" s="9">
        <f>SUM(E13+D13)</f>
        <v>1853.74</v>
      </c>
      <c r="G14" s="18">
        <v>44225</v>
      </c>
      <c r="H14" t="s">
        <v>43</v>
      </c>
      <c r="I14" s="1">
        <v>-600</v>
      </c>
      <c r="J14" s="9">
        <f>SUM(J13+I13)</f>
        <v>600</v>
      </c>
      <c r="L14" s="18" t="s">
        <v>46</v>
      </c>
      <c r="M14" t="s">
        <v>42</v>
      </c>
      <c r="N14" s="1">
        <v>0</v>
      </c>
      <c r="O14" s="9">
        <f>SUM(O13+N13)</f>
        <v>200</v>
      </c>
      <c r="Q14" s="18">
        <v>44226</v>
      </c>
      <c r="R14" t="s">
        <v>42</v>
      </c>
      <c r="S14" s="1">
        <v>0</v>
      </c>
      <c r="T14" s="9">
        <f>SUM(T13+S13)</f>
        <v>700</v>
      </c>
    </row>
    <row r="15" spans="2:20" x14ac:dyDescent="0.3">
      <c r="B15" s="18">
        <v>44225</v>
      </c>
      <c r="C15" t="s">
        <v>42</v>
      </c>
      <c r="D15" s="1">
        <v>0</v>
      </c>
      <c r="E15" s="9">
        <f>SUM(E14+D14)</f>
        <v>853.74</v>
      </c>
      <c r="G15" s="18">
        <v>44225</v>
      </c>
      <c r="H15" t="s">
        <v>42</v>
      </c>
      <c r="I15" s="1">
        <v>-600</v>
      </c>
      <c r="J15" s="9">
        <f>SUM(J14+I14)</f>
        <v>0</v>
      </c>
    </row>
  </sheetData>
  <mergeCells count="6">
    <mergeCell ref="B1:C1"/>
    <mergeCell ref="B10:E10"/>
    <mergeCell ref="G10:J10"/>
    <mergeCell ref="L10:O10"/>
    <mergeCell ref="Q10:T10"/>
    <mergeCell ref="B9:C9"/>
  </mergeCells>
  <pageMargins left="0.511811024" right="0.511811024" top="0.78740157499999996" bottom="0.78740157499999996" header="0.31496062000000002" footer="0.31496062000000002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V14"/>
  <sheetViews>
    <sheetView zoomScale="85" zoomScaleNormal="85" workbookViewId="0">
      <selection activeCell="G4" sqref="G4"/>
    </sheetView>
  </sheetViews>
  <sheetFormatPr defaultRowHeight="14.4" x14ac:dyDescent="0.3"/>
  <cols>
    <col min="1" max="1" width="9.109375" style="3"/>
    <col min="2" max="2" width="15" style="3" bestFit="1" customWidth="1"/>
    <col min="3" max="4" width="9.109375" style="3"/>
    <col min="5" max="5" width="24.88671875" style="3" bestFit="1" customWidth="1"/>
    <col min="6" max="6" width="15.5546875" style="1" bestFit="1" customWidth="1"/>
    <col min="7" max="8" width="13.33203125" bestFit="1" customWidth="1"/>
    <col min="9" max="9" width="6.88671875" customWidth="1"/>
    <col min="10" max="10" width="13.5546875" bestFit="1" customWidth="1"/>
    <col min="11" max="11" width="34.88671875" bestFit="1" customWidth="1"/>
    <col min="12" max="12" width="11.44140625" bestFit="1" customWidth="1"/>
    <col min="13" max="13" width="17" customWidth="1"/>
    <col min="14" max="14" width="16.88671875" customWidth="1"/>
    <col min="15" max="15" width="17" bestFit="1" customWidth="1"/>
    <col min="16" max="16" width="12.109375" bestFit="1" customWidth="1"/>
    <col min="17" max="17" width="17.33203125" customWidth="1"/>
    <col min="18" max="18" width="13.6640625" bestFit="1" customWidth="1"/>
    <col min="19" max="19" width="14" bestFit="1" customWidth="1"/>
    <col min="20" max="20" width="14.109375" customWidth="1"/>
    <col min="21" max="22" width="16.109375" bestFit="1" customWidth="1"/>
  </cols>
  <sheetData>
    <row r="1" spans="1:22" x14ac:dyDescent="0.3">
      <c r="A1" s="8" t="s">
        <v>0</v>
      </c>
      <c r="B1" s="8" t="s">
        <v>24</v>
      </c>
      <c r="C1" s="8" t="s">
        <v>1</v>
      </c>
      <c r="D1" s="8" t="s">
        <v>26</v>
      </c>
      <c r="E1" s="8" t="s">
        <v>25</v>
      </c>
      <c r="F1" s="12" t="s">
        <v>14</v>
      </c>
      <c r="G1" s="8" t="s">
        <v>22</v>
      </c>
      <c r="H1" s="8" t="s">
        <v>23</v>
      </c>
      <c r="I1" s="16" t="s">
        <v>45</v>
      </c>
      <c r="K1" t="s">
        <v>52</v>
      </c>
    </row>
    <row r="2" spans="1:22" x14ac:dyDescent="0.3">
      <c r="A2" s="26">
        <v>2</v>
      </c>
      <c r="B2" s="27">
        <v>2022</v>
      </c>
      <c r="C2" s="27" t="s">
        <v>16</v>
      </c>
      <c r="D2" s="27">
        <v>9</v>
      </c>
      <c r="E2" s="27" t="s">
        <v>12</v>
      </c>
      <c r="F2" s="28" t="s">
        <v>40</v>
      </c>
      <c r="G2" s="13"/>
      <c r="H2" s="13">
        <v>0</v>
      </c>
      <c r="I2" s="3"/>
      <c r="K2" s="1">
        <f>ABS(INDEX(Tabela2[Saldo],MATCH(9.99999999999999E+307,Tabela2[Saldo])))</f>
        <v>0</v>
      </c>
    </row>
    <row r="3" spans="1:22" ht="15.6" x14ac:dyDescent="0.3">
      <c r="A3" s="26">
        <v>3</v>
      </c>
      <c r="B3" s="27">
        <v>2022</v>
      </c>
      <c r="C3" s="27" t="s">
        <v>16</v>
      </c>
      <c r="D3" s="27">
        <v>9</v>
      </c>
      <c r="E3" s="27" t="s">
        <v>38</v>
      </c>
      <c r="F3" s="28" t="s">
        <v>18</v>
      </c>
      <c r="G3" s="14"/>
      <c r="H3" s="15">
        <f>SUM(H2-G2)</f>
        <v>0</v>
      </c>
      <c r="I3" s="3"/>
      <c r="K3" s="21" t="s">
        <v>5</v>
      </c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</row>
    <row r="4" spans="1:22" x14ac:dyDescent="0.3">
      <c r="A4" s="26">
        <v>4</v>
      </c>
      <c r="B4" s="27">
        <v>2022</v>
      </c>
      <c r="C4" s="27" t="s">
        <v>16</v>
      </c>
      <c r="D4" s="27">
        <v>9</v>
      </c>
      <c r="E4" s="27" t="s">
        <v>39</v>
      </c>
      <c r="F4" s="28" t="s">
        <v>17</v>
      </c>
      <c r="G4" s="14">
        <v>0</v>
      </c>
      <c r="H4" s="15">
        <f>SUM(H3-G3)</f>
        <v>0</v>
      </c>
      <c r="I4" s="3"/>
      <c r="K4" s="5" t="s">
        <v>21</v>
      </c>
      <c r="L4" s="5" t="s">
        <v>1</v>
      </c>
      <c r="M4" s="6" t="s">
        <v>6</v>
      </c>
      <c r="N4" s="6" t="s">
        <v>7</v>
      </c>
      <c r="O4" s="6" t="s">
        <v>11</v>
      </c>
      <c r="P4" s="6" t="s">
        <v>8</v>
      </c>
      <c r="Q4" s="6" t="s">
        <v>9</v>
      </c>
      <c r="R4" s="7" t="s">
        <v>19</v>
      </c>
      <c r="S4" s="6" t="s">
        <v>10</v>
      </c>
      <c r="T4" s="6" t="s">
        <v>13</v>
      </c>
      <c r="U4" s="6" t="s">
        <v>15</v>
      </c>
      <c r="V4" s="6" t="s">
        <v>20</v>
      </c>
    </row>
    <row r="5" spans="1:22" x14ac:dyDescent="0.3">
      <c r="A5" s="26"/>
      <c r="B5" s="27"/>
      <c r="C5" s="27"/>
      <c r="D5" s="27"/>
      <c r="E5" s="27"/>
      <c r="F5" s="28"/>
      <c r="G5" s="14"/>
      <c r="H5" s="15"/>
      <c r="I5" s="3"/>
      <c r="K5" s="11">
        <v>2022</v>
      </c>
      <c r="L5" s="11" t="s">
        <v>16</v>
      </c>
      <c r="M5" s="4">
        <f>SUMIFS(Tabela2[Valor],Tabela2[Ano],$K5,Tabela2[Mês],Tabela9[Mês],Tabela2[Tipo],$M$4)</f>
        <v>0</v>
      </c>
      <c r="N5" s="4">
        <f>SUMIFS(Tabela2[Valor],Tabela2[Ano],$K5,Tabela2[Mês],Tabela9[Mês],Tabela2[Tipo],$N$4)</f>
        <v>0</v>
      </c>
      <c r="O5" s="4">
        <f>SUMIFS(Tabela2[Valor],Tabela2[Ano],$K5,Tabela2[Mês],Tabela9[Mês],Tabela2[Tipo],$O$4)</f>
        <v>0</v>
      </c>
      <c r="P5" s="4">
        <f>SUMIFS(Tabela2[Valor],Tabela2[Ano],$K5,Tabela2[Mês],Tabela9[Mês],Tabela2[Tipo],$P$4)</f>
        <v>0</v>
      </c>
      <c r="Q5" s="4">
        <f>SUMIFS(Tabela2[Valor],Tabela2[Ano],$K5,Tabela2[Mês],Tabela9[Mês],Tabela2[Tipo],$Q$4)</f>
        <v>0</v>
      </c>
      <c r="R5" s="4">
        <f>SUMIFS(Tabela2[Valor],Tabela2[Ano],$K5,Tabela2[Mês],Tabela9[Mês],Tabela2[Tipo],$R$4)</f>
        <v>0</v>
      </c>
      <c r="S5" s="4">
        <f>SUMIFS(Tabela2[Valor],Tabela2[Ano],$K5,Tabela2[Mês],Tabela9[Mês],Tabela2[Tipo],$S$4)</f>
        <v>0</v>
      </c>
      <c r="T5" s="4">
        <f>SUMIFS(Tabela2[Valor],Tabela2[Ano],$K5,Tabela2[Mês],Tabela9[Mês],Tabela2[Tipo],$T$4)</f>
        <v>0</v>
      </c>
      <c r="U5" s="4">
        <f>SUMIFS(Tabela2[Valor],Tabela2[Ano],$K5,Tabela2[Mês],Tabela9[Mês],Tabela2[Tipo],$U$4)</f>
        <v>0</v>
      </c>
      <c r="V5" s="10">
        <f>SUM(M5:R5,T5:U5)</f>
        <v>0</v>
      </c>
    </row>
    <row r="6" spans="1:22" x14ac:dyDescent="0.3">
      <c r="A6" s="26"/>
      <c r="B6" s="27"/>
      <c r="C6" s="27"/>
      <c r="D6" s="27"/>
      <c r="E6" s="27"/>
      <c r="F6" s="28"/>
      <c r="G6" s="14"/>
      <c r="H6" s="15"/>
      <c r="I6" s="3"/>
    </row>
    <row r="7" spans="1:22" x14ac:dyDescent="0.3">
      <c r="A7" s="26"/>
      <c r="B7" s="27"/>
      <c r="C7" s="27"/>
      <c r="D7" s="27"/>
      <c r="E7" s="27"/>
      <c r="F7" s="28"/>
      <c r="G7" s="14"/>
      <c r="H7" s="15"/>
      <c r="I7" s="3"/>
    </row>
    <row r="8" spans="1:22" x14ac:dyDescent="0.3">
      <c r="A8" s="26"/>
      <c r="B8" s="27"/>
      <c r="C8" s="27"/>
      <c r="D8" s="27"/>
      <c r="E8" s="27"/>
      <c r="F8" s="28"/>
      <c r="G8" s="14"/>
      <c r="H8" s="15"/>
      <c r="I8" s="3"/>
    </row>
    <row r="9" spans="1:22" x14ac:dyDescent="0.3">
      <c r="A9" s="26"/>
      <c r="B9" s="27"/>
      <c r="C9" s="27"/>
      <c r="D9" s="27"/>
      <c r="E9" s="27"/>
      <c r="F9" s="28"/>
      <c r="G9" s="14"/>
      <c r="H9" s="15"/>
      <c r="I9" s="3"/>
    </row>
    <row r="10" spans="1:22" x14ac:dyDescent="0.3">
      <c r="A10" s="26"/>
      <c r="B10" s="27"/>
      <c r="C10" s="27"/>
      <c r="D10" s="27"/>
      <c r="E10" s="27"/>
      <c r="F10" s="28"/>
      <c r="G10" s="14"/>
      <c r="H10" s="15"/>
      <c r="I10" s="3"/>
    </row>
    <row r="11" spans="1:22" x14ac:dyDescent="0.3">
      <c r="A11" s="26"/>
      <c r="B11" s="27"/>
      <c r="C11" s="27"/>
      <c r="D11" s="27"/>
      <c r="E11" s="27"/>
      <c r="F11" s="29"/>
      <c r="G11" s="14"/>
      <c r="H11" s="15"/>
      <c r="I11" s="17"/>
    </row>
    <row r="12" spans="1:22" x14ac:dyDescent="0.3">
      <c r="A12" s="26"/>
      <c r="B12" s="27"/>
      <c r="C12" s="27"/>
      <c r="D12" s="27"/>
      <c r="E12" s="27"/>
      <c r="F12" s="29"/>
      <c r="G12" s="14"/>
      <c r="H12" s="15"/>
      <c r="I12" s="17"/>
    </row>
    <row r="13" spans="1:22" x14ac:dyDescent="0.3">
      <c r="A13" s="26"/>
      <c r="B13" s="27"/>
      <c r="C13" s="27"/>
      <c r="D13" s="27"/>
      <c r="E13" s="27"/>
      <c r="F13" s="29"/>
      <c r="G13" s="14"/>
      <c r="H13" s="15"/>
      <c r="I13" s="17"/>
    </row>
    <row r="14" spans="1:22" x14ac:dyDescent="0.3">
      <c r="A14" s="26"/>
      <c r="B14" s="27"/>
      <c r="C14" s="27"/>
      <c r="D14" s="27"/>
      <c r="E14" s="27"/>
      <c r="F14" s="29"/>
      <c r="G14" s="14"/>
      <c r="H14" s="15"/>
      <c r="I14" s="19"/>
    </row>
  </sheetData>
  <mergeCells count="1">
    <mergeCell ref="K3:V3"/>
  </mergeCells>
  <conditionalFormatting sqref="E15:E1048576">
    <cfRule type="cellIs" dxfId="3" priority="1" operator="equal">
      <formula>"LAZER"</formula>
    </cfRule>
    <cfRule type="cellIs" dxfId="2" priority="2" operator="equal">
      <formula>"ALIMENTAÇÃO"</formula>
    </cfRule>
    <cfRule type="cellIs" dxfId="1" priority="3" operator="equal">
      <formula>"OUTROS"</formula>
    </cfRule>
    <cfRule type="cellIs" dxfId="0" priority="4" operator="equal">
      <formula>"BENS"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lembretes</vt:lpstr>
      <vt:lpstr>dashBoard</vt:lpstr>
      <vt:lpstr>bancoeValoresParaGasto</vt:lpstr>
      <vt:lpstr>fluxodeReservas</vt:lpstr>
      <vt:lpstr>base</vt:lpstr>
      <vt:lpstr>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</dc:creator>
  <cp:lastModifiedBy>Joao Dev</cp:lastModifiedBy>
  <dcterms:created xsi:type="dcterms:W3CDTF">2021-08-19T22:22:45Z</dcterms:created>
  <dcterms:modified xsi:type="dcterms:W3CDTF">2022-01-29T14:32:27Z</dcterms:modified>
</cp:coreProperties>
</file>