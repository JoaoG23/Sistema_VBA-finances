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joaog\OneDrive\Área de Trabalho\PROJETOS\"/>
    </mc:Choice>
  </mc:AlternateContent>
  <bookViews>
    <workbookView showHorizontalScroll="0" showSheetTabs="0" xWindow="0" yWindow="0" windowWidth="20490" windowHeight="7650"/>
  </bookViews>
  <sheets>
    <sheet name="dashBoard" sheetId="2" r:id="rId1"/>
    <sheet name="Planilha4" sheetId="5" r:id="rId2"/>
    <sheet name="base" sheetId="1" r:id="rId3"/>
    <sheet name="acumulado" sheetId="3" r:id="rId4"/>
  </sheets>
  <definedNames>
    <definedName name="ID">base!$I$1</definedName>
    <definedName name="SegmentaçãodeDados_Banco">#N/A</definedName>
    <definedName name="SegmentaçãodeDados_Mês">#N/A</definedName>
  </definedNames>
  <calcPr calcId="162913"/>
  <pivotCaches>
    <pivotCache cacheId="0" r:id="rId5"/>
    <pivotCache cacheId="1" r:id="rId6"/>
    <pivotCache cacheId="2" r:id="rId7"/>
    <pivotCache cacheId="6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5" i="1" l="1"/>
  <c r="U5" i="1"/>
  <c r="T5" i="1"/>
  <c r="S5" i="1"/>
  <c r="R5" i="1"/>
  <c r="Q5" i="1"/>
</calcChain>
</file>

<file path=xl/sharedStrings.xml><?xml version="1.0" encoding="utf-8"?>
<sst xmlns="http://schemas.openxmlformats.org/spreadsheetml/2006/main" count="130" uniqueCount="74">
  <si>
    <t>ID</t>
  </si>
  <si>
    <t>NOME</t>
  </si>
  <si>
    <t>MÊS</t>
  </si>
  <si>
    <t>DIA</t>
  </si>
  <si>
    <t>TIPO</t>
  </si>
  <si>
    <t>VALOR</t>
  </si>
  <si>
    <t>BENS</t>
  </si>
  <si>
    <t>Locais de Dinheiro</t>
  </si>
  <si>
    <t>Mês</t>
  </si>
  <si>
    <t>Nubank</t>
  </si>
  <si>
    <t>Picpay</t>
  </si>
  <si>
    <t>Next</t>
  </si>
  <si>
    <t>Bradesco</t>
  </si>
  <si>
    <t>Carteira</t>
  </si>
  <si>
    <t>Total</t>
  </si>
  <si>
    <t>Julho</t>
  </si>
  <si>
    <t>Agosto</t>
  </si>
  <si>
    <t>Despesas</t>
  </si>
  <si>
    <t>Bens</t>
  </si>
  <si>
    <t>Lazer</t>
  </si>
  <si>
    <t>Alimentação</t>
  </si>
  <si>
    <t>Cabelo</t>
  </si>
  <si>
    <t>Dízimo</t>
  </si>
  <si>
    <t>Entradas</t>
  </si>
  <si>
    <t>Ração</t>
  </si>
  <si>
    <t>Academia</t>
  </si>
  <si>
    <t>Caixa Casa</t>
  </si>
  <si>
    <t>Aposentar</t>
  </si>
  <si>
    <t>Estudos</t>
  </si>
  <si>
    <t>L/Mprazo</t>
  </si>
  <si>
    <t>SeparaçãoRealTime</t>
  </si>
  <si>
    <t>Salario</t>
  </si>
  <si>
    <t>Sobras</t>
  </si>
  <si>
    <t>Rótulos de Linha</t>
  </si>
  <si>
    <t>Total Geral</t>
  </si>
  <si>
    <t>Soma de VALOR</t>
  </si>
  <si>
    <t>Valores</t>
  </si>
  <si>
    <t>Nu</t>
  </si>
  <si>
    <t>Banco</t>
  </si>
  <si>
    <t>PicPay</t>
  </si>
  <si>
    <t>Soma de Valores2</t>
  </si>
  <si>
    <t>Junho</t>
  </si>
  <si>
    <t>Totais</t>
  </si>
  <si>
    <t>Soma de Totais</t>
  </si>
  <si>
    <t>Outros</t>
  </si>
  <si>
    <t>Juntando da casa</t>
  </si>
  <si>
    <t>Alimentação que Dei a Pai</t>
  </si>
  <si>
    <t>1 Dízimo (devolvido)</t>
  </si>
  <si>
    <t>1 Cabelo</t>
  </si>
  <si>
    <t>Frango</t>
  </si>
  <si>
    <t>Fone Xaomi AirDots2</t>
  </si>
  <si>
    <t>Livro Clean Code</t>
  </si>
  <si>
    <t xml:space="preserve">Doces </t>
  </si>
  <si>
    <t>Loratadina</t>
  </si>
  <si>
    <t>Kinder</t>
  </si>
  <si>
    <t>Troquei a ração estragada</t>
  </si>
  <si>
    <t>Escova</t>
  </si>
  <si>
    <t>Guarda Chuvas</t>
  </si>
  <si>
    <t>Acumulados</t>
  </si>
  <si>
    <t>Tipo</t>
  </si>
  <si>
    <t>Casa 100</t>
  </si>
  <si>
    <t>Planos de Medio</t>
  </si>
  <si>
    <t>Racão</t>
  </si>
  <si>
    <t>Valores Mês</t>
  </si>
  <si>
    <t>Instituição</t>
  </si>
  <si>
    <t>Chave Pix</t>
  </si>
  <si>
    <t>139176326-24</t>
  </si>
  <si>
    <t>3199868-4340</t>
  </si>
  <si>
    <t>joazinhotito@gmail.com</t>
  </si>
  <si>
    <t>Soma de Valores Mês</t>
  </si>
  <si>
    <t>Cabelo 2</t>
  </si>
  <si>
    <t>CABELO</t>
  </si>
  <si>
    <t>(vazio)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</si>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</sst>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1" tint="0.34998626667073579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/>
      <top/>
      <bottom style="thin">
        <color theme="1" tint="4.9989318521683403E-2"/>
      </bottom>
      <diagonal/>
    </border>
    <border>
      <left/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</cellStyleXfs>
  <cellXfs count="42">
    <xf numFmtId="0" fontId="0" fillId="0" borderId="0" xfId="0"/>
    <xf numFmtId="0" fontId="0" fillId="2" borderId="0" xfId="0" applyFill="1"/>
    <xf numFmtId="44" fontId="0" fillId="0" borderId="0" xfId="1" applyFont="1"/>
    <xf numFmtId="0" fontId="0" fillId="5" borderId="0" xfId="0" applyFill="1"/>
    <xf numFmtId="0" fontId="0" fillId="0" borderId="0" xfId="0" applyAlignment="1">
      <alignment horizontal="center"/>
    </xf>
    <xf numFmtId="44" fontId="0" fillId="0" borderId="5" xfId="1" applyFont="1" applyBorder="1"/>
    <xf numFmtId="44" fontId="0" fillId="0" borderId="6" xfId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1" applyNumberFormat="1" applyFont="1" applyBorder="1"/>
    <xf numFmtId="0" fontId="3" fillId="3" borderId="1" xfId="2" applyFont="1" applyBorder="1"/>
    <xf numFmtId="0" fontId="4" fillId="4" borderId="3" xfId="3" applyFont="1" applyBorder="1"/>
    <xf numFmtId="0" fontId="4" fillId="4" borderId="10" xfId="3" applyFont="1" applyBorder="1"/>
    <xf numFmtId="0" fontId="3" fillId="3" borderId="2" xfId="2" applyFont="1" applyBorder="1"/>
    <xf numFmtId="0" fontId="4" fillId="4" borderId="4" xfId="3" applyFont="1" applyBorder="1"/>
    <xf numFmtId="0" fontId="4" fillId="4" borderId="11" xfId="3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44" fontId="0" fillId="0" borderId="0" xfId="0" applyNumberFormat="1"/>
    <xf numFmtId="0" fontId="0" fillId="0" borderId="0" xfId="0" applyBorder="1" applyAlignment="1"/>
    <xf numFmtId="0" fontId="0" fillId="0" borderId="14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44" fontId="0" fillId="0" borderId="12" xfId="1" applyFont="1" applyBorder="1" applyAlignment="1">
      <alignment horizontal="center"/>
    </xf>
    <xf numFmtId="0" fontId="0" fillId="0" borderId="12" xfId="0" applyFill="1" applyBorder="1" applyAlignment="1">
      <alignment horizontal="center"/>
    </xf>
    <xf numFmtId="44" fontId="0" fillId="0" borderId="12" xfId="1" applyFont="1" applyBorder="1"/>
    <xf numFmtId="17" fontId="0" fillId="0" borderId="18" xfId="0" applyNumberFormat="1" applyBorder="1" applyAlignment="1">
      <alignment horizontal="center"/>
    </xf>
    <xf numFmtId="44" fontId="0" fillId="0" borderId="17" xfId="1" applyFont="1" applyBorder="1"/>
    <xf numFmtId="0" fontId="0" fillId="0" borderId="16" xfId="0" applyBorder="1" applyAlignment="1">
      <alignment horizontal="center"/>
    </xf>
    <xf numFmtId="44" fontId="0" fillId="0" borderId="15" xfId="1" applyFont="1" applyBorder="1"/>
    <xf numFmtId="17" fontId="0" fillId="0" borderId="14" xfId="0" applyNumberFormat="1" applyBorder="1" applyAlignment="1">
      <alignment horizontal="center"/>
    </xf>
    <xf numFmtId="44" fontId="0" fillId="0" borderId="13" xfId="1" applyFont="1" applyBorder="1"/>
    <xf numFmtId="0" fontId="0" fillId="0" borderId="16" xfId="0" applyBorder="1"/>
    <xf numFmtId="0" fontId="0" fillId="0" borderId="18" xfId="0" applyBorder="1"/>
    <xf numFmtId="44" fontId="0" fillId="0" borderId="12" xfId="1" applyFont="1" applyFill="1" applyBorder="1"/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4">
    <cellStyle name="20% - Ênfase2" xfId="3" builtinId="34"/>
    <cellStyle name="Ênfase2" xfId="2" builtinId="33"/>
    <cellStyle name="Moeda" xfId="1" builtinId="4"/>
    <cellStyle name="Normal" xfId="0" builtinId="0"/>
  </cellStyles>
  <dxfs count="41"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diagonalUp="0" diagonalDown="0">
        <left/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outline="0">
        <top style="thin">
          <color theme="1" tint="4.9989318521683403E-2"/>
        </top>
      </border>
    </dxf>
    <dxf>
      <border outline="0">
        <left style="thin">
          <color theme="1" tint="4.9989318521683403E-2"/>
        </left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</border>
    </dxf>
    <dxf>
      <border outline="0">
        <bottom style="thin">
          <color theme="1" tint="4.9989318521683403E-2"/>
        </bottom>
      </border>
    </dxf>
    <dxf>
      <border diagonalUp="0" diagonalDown="0" outline="0">
        <left style="thin">
          <color theme="1" tint="4.9989318521683403E-2"/>
        </left>
        <right style="thin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numFmt numFmtId="22" formatCode="mmm/yy"/>
      <alignment horizontal="center" vertical="bottom" textRotation="0" wrapText="0" indent="0" justifyLastLine="0" shrinkToFit="0" readingOrder="0"/>
      <border diagonalUp="0" diagonalDown="0">
        <left/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outline="0">
        <top style="thin">
          <color theme="1" tint="4.9989318521683403E-2"/>
        </top>
      </border>
    </dxf>
    <dxf>
      <border outline="0">
        <left style="thin">
          <color theme="1" tint="4.9989318521683403E-2"/>
        </left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</border>
    </dxf>
    <dxf>
      <border outline="0">
        <bottom style="thin">
          <color theme="1" tint="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0" tint="-4.9989318521683403E-2"/>
      </font>
      <fill>
        <patternFill patternType="solid">
          <fgColor auto="1"/>
          <bgColor theme="3" tint="0.79998168889431442"/>
        </patternFill>
      </fill>
      <border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  <vertical style="medium">
          <color theme="0" tint="-0.24994659260841701"/>
        </vertical>
        <horizontal style="medium">
          <color theme="0" tint="-0.24994659260841701"/>
        </horizontal>
      </border>
    </dxf>
    <dxf>
      <fill>
        <patternFill>
          <bgColor rgb="FFEAF1FA"/>
        </patternFill>
      </fill>
      <border diagonalDown="1"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  <diagonal style="medium">
          <color theme="0" tint="-0.34998626667073579"/>
        </diagonal>
        <vertical style="medium">
          <color theme="0" tint="-0.34998626667073579"/>
        </vertical>
        <horizontal style="thick">
          <color theme="0" tint="-0.34998626667073579"/>
        </horizontal>
      </border>
    </dxf>
    <dxf>
      <fill>
        <patternFill>
          <bgColor theme="4" tint="0.79998168889431442"/>
        </patternFill>
      </fill>
      <border diagonalDown="1">
        <left style="thick">
          <color theme="0" tint="-0.24994659260841701"/>
        </left>
        <right style="thick">
          <color theme="0" tint="-0.24994659260841701"/>
        </right>
        <top style="thick">
          <color theme="0" tint="-0.24994659260841701"/>
        </top>
        <bottom style="thick">
          <color theme="0" tint="-0.24994659260841701"/>
        </bottom>
        <diagonal style="thick">
          <color theme="0" tint="-0.24994659260841701"/>
        </diagonal>
        <vertical style="thick">
          <color theme="0" tint="-0.24994659260841701"/>
        </vertical>
        <horizontal style="thick">
          <color theme="0" tint="-0.24994659260841701"/>
        </horizontal>
      </border>
    </dxf>
    <dxf>
      <font>
        <b/>
        <i/>
        <u val="double"/>
        <color theme="2"/>
      </font>
      <fill>
        <gradientFill type="path">
          <stop position="0">
            <color rgb="FFFF9966"/>
          </stop>
          <stop position="1">
            <color theme="9" tint="-0.25098422193060094"/>
          </stop>
        </gradientFill>
      </fill>
      <border diagonalDown="1">
        <left style="medium">
          <color theme="9" tint="-0.499984740745262"/>
        </left>
        <right style="medium">
          <color theme="9" tint="-0.499984740745262"/>
        </right>
        <top style="medium">
          <color theme="9" tint="-0.499984740745262"/>
        </top>
        <bottom style="medium">
          <color theme="9" tint="-0.499984740745262"/>
        </bottom>
        <diagonal style="medium">
          <color theme="9" tint="-0.499984740745262"/>
        </diagonal>
        <vertical style="medium">
          <color theme="9" tint="-0.499984740745262"/>
        </vertical>
        <horizontal style="medium">
          <color theme="9" tint="-0.499984740745262"/>
        </horizontal>
      </border>
    </dxf>
    <dxf>
      <font>
        <color theme="0" tint="-4.9989318521683403E-2"/>
      </font>
      <fill>
        <gradientFill type="path">
          <stop position="0">
            <color rgb="FFFF9966"/>
          </stop>
          <stop position="1">
            <color rgb="FFF24A2E"/>
          </stop>
        </gradientFill>
      </fill>
      <border diagonalDown="1"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  <diagonal style="thick">
          <color theme="0" tint="-0.34998626667073579"/>
        </diagonal>
        <vertical style="thick">
          <color theme="0" tint="-0.34998626667073579"/>
        </vertical>
        <horizontal style="thick">
          <color theme="0" tint="-0.34998626667073579"/>
        </horizontal>
      </border>
    </dxf>
  </dxfs>
  <tableStyles count="2" defaultTableStyle="TableStyleMedium2" defaultPivotStyle="PivotStyleLight16">
    <tableStyle name="Estilo de Tabela 1" pivot="0" count="5">
      <tableStyleElement type="headerRow" dxfId="40"/>
      <tableStyleElement type="totalRow" dxfId="39"/>
      <tableStyleElement type="firstRowStripe" dxfId="38"/>
      <tableStyleElement type="secondRowStripe" dxfId="37"/>
      <tableStyleElement type="firstColumnStripe" size="2" dxfId="36"/>
    </tableStyle>
    <tableStyle name="SlicerStyleLight1 2" pivot="0" table="0" count="9">
      <tableStyleElement type="headerRow" dxfId="35"/>
    </tableStyle>
  </tableStyles>
  <colors>
    <mruColors>
      <color rgb="FF0066CC"/>
      <color rgb="FF000066"/>
      <color rgb="FF0099FF"/>
      <color rgb="FF5DBDFF"/>
      <color rgb="FFF5FAFD"/>
      <color rgb="FFEDFCFD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dinâmica6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Ganho</a:t>
            </a:r>
            <a:r>
              <a:rPr lang="en-US" baseline="0"/>
              <a:t> Ao longo do Periodo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rgbClr val="0099FF">
                  <a:shade val="30000"/>
                  <a:satMod val="115000"/>
                </a:srgbClr>
              </a:gs>
              <a:gs pos="50000">
                <a:srgbClr val="0099FF">
                  <a:shade val="67500"/>
                  <a:satMod val="115000"/>
                </a:srgbClr>
              </a:gs>
              <a:gs pos="100000">
                <a:srgbClr val="0099FF">
                  <a:shade val="100000"/>
                  <a:satMod val="115000"/>
                </a:srgbClr>
              </a:gs>
            </a:gsLst>
            <a:path path="circle">
              <a:fillToRect t="100000" r="100000"/>
            </a:path>
            <a:tileRect l="-100000" b="-100000"/>
          </a:gradFill>
          <a:ln>
            <a:noFill/>
          </a:ln>
          <a:effectLst/>
        </c:spPr>
        <c:marker>
          <c:symbol val="none"/>
        </c:marker>
      </c:pivotFmt>
      <c:pivotFmt>
        <c:idx val="1"/>
        <c:spPr>
          <a:gradFill flip="none" rotWithShape="1">
            <a:gsLst>
              <a:gs pos="0">
                <a:srgbClr val="0099FF">
                  <a:shade val="30000"/>
                  <a:satMod val="115000"/>
                </a:srgbClr>
              </a:gs>
              <a:gs pos="50000">
                <a:srgbClr val="0099FF">
                  <a:shade val="67500"/>
                  <a:satMod val="115000"/>
                </a:srgbClr>
              </a:gs>
              <a:gs pos="100000">
                <a:srgbClr val="00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12700" cap="flat" cmpd="sng" algn="ctr">
            <a:noFill/>
            <a:prstDash val="solid"/>
            <a:miter lim="800000"/>
          </a:ln>
          <a:effectLst/>
        </c:spPr>
        <c:marker>
          <c:symbol val="none"/>
        </c:marker>
      </c:pivotFmt>
      <c:pivotFmt>
        <c:idx val="2"/>
        <c:spPr>
          <a:gradFill flip="none" rotWithShape="1">
            <a:gsLst>
              <a:gs pos="0">
                <a:srgbClr val="0099FF">
                  <a:shade val="30000"/>
                  <a:satMod val="115000"/>
                </a:srgbClr>
              </a:gs>
              <a:gs pos="50000">
                <a:srgbClr val="0099FF">
                  <a:shade val="67500"/>
                  <a:satMod val="115000"/>
                </a:srgbClr>
              </a:gs>
              <a:gs pos="100000">
                <a:srgbClr val="00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12700" cap="flat" cmpd="sng" algn="ctr">
            <a:noFill/>
            <a:prstDash val="solid"/>
            <a:miter lim="800000"/>
          </a:ln>
          <a:effectLst/>
        </c:spPr>
        <c:marker>
          <c:symbol val="none"/>
        </c:marker>
      </c:pivotFmt>
      <c:pivotFmt>
        <c:idx val="3"/>
        <c:spPr>
          <a:gradFill flip="none" rotWithShape="1">
            <a:gsLst>
              <a:gs pos="0">
                <a:srgbClr val="0099FF">
                  <a:shade val="30000"/>
                  <a:satMod val="115000"/>
                </a:srgbClr>
              </a:gs>
              <a:gs pos="50000">
                <a:srgbClr val="0099FF">
                  <a:shade val="67500"/>
                  <a:satMod val="115000"/>
                </a:srgbClr>
              </a:gs>
              <a:gs pos="100000">
                <a:srgbClr val="00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12700" cap="flat" cmpd="sng" algn="ctr">
            <a:noFill/>
            <a:prstDash val="solid"/>
            <a:miter lim="800000"/>
          </a:ln>
          <a:effectLst/>
        </c:spPr>
        <c:marker>
          <c:symbol val="none"/>
        </c:marke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Planilha4!$H$5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0099FF">
                    <a:shade val="30000"/>
                    <a:satMod val="115000"/>
                  </a:srgbClr>
                </a:gs>
                <a:gs pos="50000">
                  <a:srgbClr val="0099FF">
                    <a:shade val="67500"/>
                    <a:satMod val="115000"/>
                  </a:srgbClr>
                </a:gs>
                <a:gs pos="100000">
                  <a:srgbClr val="0099FF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 w="12700" cap="flat" cmpd="sng" algn="ctr">
              <a:noFill/>
              <a:prstDash val="solid"/>
              <a:miter lim="800000"/>
            </a:ln>
            <a:effectLst/>
          </c:spPr>
          <c:cat>
            <c:strRef>
              <c:f>Planilha4!$G$6:$G$9</c:f>
              <c:strCache>
                <c:ptCount val="3"/>
                <c:pt idx="0">
                  <c:v>Junho</c:v>
                </c:pt>
                <c:pt idx="1">
                  <c:v>Julho</c:v>
                </c:pt>
                <c:pt idx="2">
                  <c:v>Agosto</c:v>
                </c:pt>
              </c:strCache>
            </c:strRef>
          </c:cat>
          <c:val>
            <c:numRef>
              <c:f>Planilha4!$H$6:$H$9</c:f>
              <c:numCache>
                <c:formatCode>_("R$"* #,##0.00_);_("R$"* \(#,##0.00\);_("R$"* "-"??_);_(@_)</c:formatCode>
                <c:ptCount val="3"/>
                <c:pt idx="0">
                  <c:v>2500</c:v>
                </c:pt>
                <c:pt idx="1">
                  <c:v>3876.14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6C-45CC-8B2C-B17853DAF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186272"/>
        <c:axId val="494184304"/>
      </c:areaChart>
      <c:catAx>
        <c:axId val="49418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4184304"/>
        <c:crosses val="autoZero"/>
        <c:auto val="1"/>
        <c:lblAlgn val="ctr"/>
        <c:lblOffset val="100"/>
        <c:noMultiLvlLbl val="0"/>
      </c:catAx>
      <c:valAx>
        <c:axId val="494184304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4186272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[SistemaJoão v2.0.xlsm]Planilha4!Tabela dinâmica5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Divisão</a:t>
            </a:r>
            <a:r>
              <a:rPr lang="pt-BR" baseline="0"/>
              <a:t> de Valores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0070C0">
                  <a:shade val="30000"/>
                  <a:satMod val="115000"/>
                </a:srgbClr>
              </a:gs>
              <a:gs pos="50000">
                <a:srgbClr val="0070C0">
                  <a:shade val="67500"/>
                  <a:satMod val="115000"/>
                </a:srgbClr>
              </a:gs>
              <a:gs pos="100000">
                <a:srgbClr val="0070C0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  <a:effectLst/>
        </c:spPr>
      </c:pivotFmt>
      <c:pivotFmt>
        <c:idx val="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5">
                  <a:tint val="54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tint val="54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tint val="5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"/>
        <c:spPr>
          <a:gradFill rotWithShape="1">
            <a:gsLst>
              <a:gs pos="0">
                <a:schemeClr val="accent5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5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"/>
        <c:spPr>
          <a:gradFill flip="none" rotWithShape="1">
            <a:gsLst>
              <a:gs pos="0">
                <a:srgbClr val="0070C0">
                  <a:shade val="30000"/>
                  <a:satMod val="115000"/>
                </a:srgbClr>
              </a:gs>
              <a:gs pos="50000">
                <a:srgbClr val="0070C0">
                  <a:shade val="67500"/>
                  <a:satMod val="115000"/>
                </a:srgbClr>
              </a:gs>
              <a:gs pos="100000">
                <a:srgbClr val="0070C0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  <c:pivotFmt>
        <c:idx val="10"/>
        <c:spPr>
          <a:gradFill rotWithShape="1">
            <a:gsLst>
              <a:gs pos="0">
                <a:schemeClr val="accent5">
                  <a:tint val="54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tint val="54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tint val="5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1"/>
        <c:spPr>
          <a:gradFill rotWithShape="1">
            <a:gsLst>
              <a:gs pos="0">
                <a:schemeClr val="accent5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3"/>
        <c:spPr>
          <a:gradFill rotWithShape="1">
            <a:gsLst>
              <a:gs pos="0">
                <a:schemeClr val="accent5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4"/>
        <c:spPr>
          <a:gradFill flip="none" rotWithShape="1">
            <a:gsLst>
              <a:gs pos="0">
                <a:srgbClr val="0070C0">
                  <a:shade val="30000"/>
                  <a:satMod val="115000"/>
                </a:srgbClr>
              </a:gs>
              <a:gs pos="50000">
                <a:srgbClr val="0070C0">
                  <a:shade val="67500"/>
                  <a:satMod val="115000"/>
                </a:srgbClr>
              </a:gs>
              <a:gs pos="100000">
                <a:srgbClr val="0070C0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Planilha4!$K$4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5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01D-4D10-9E46-F8852D4A625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01D-4D10-9E46-F8852D4A625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01D-4D10-9E46-F8852D4A625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01D-4D10-9E46-F8852D4A625D}"/>
              </c:ext>
            </c:extLst>
          </c:dPt>
          <c:dPt>
            <c:idx val="4"/>
            <c:bubble3D val="0"/>
            <c:spPr>
              <a:gradFill flip="none" rotWithShape="1">
                <a:gsLst>
                  <a:gs pos="0">
                    <a:srgbClr val="0070C0">
                      <a:shade val="30000"/>
                      <a:satMod val="115000"/>
                    </a:srgbClr>
                  </a:gs>
                  <a:gs pos="50000">
                    <a:srgbClr val="0070C0">
                      <a:shade val="67500"/>
                      <a:satMod val="115000"/>
                    </a:srgbClr>
                  </a:gs>
                  <a:gs pos="100000">
                    <a:srgbClr val="0070C0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01D-4D10-9E46-F8852D4A625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Planilha4!$J$5:$J$10</c:f>
              <c:strCache>
                <c:ptCount val="5"/>
                <c:pt idx="0">
                  <c:v>Bradesco</c:v>
                </c:pt>
                <c:pt idx="1">
                  <c:v>Carteira</c:v>
                </c:pt>
                <c:pt idx="2">
                  <c:v>Next</c:v>
                </c:pt>
                <c:pt idx="3">
                  <c:v>Nu</c:v>
                </c:pt>
                <c:pt idx="4">
                  <c:v>PicPay</c:v>
                </c:pt>
              </c:strCache>
            </c:strRef>
          </c:cat>
          <c:val>
            <c:numRef>
              <c:f>Planilha4!$K$5:$K$10</c:f>
              <c:numCache>
                <c:formatCode>_("R$"* #,##0.00_);_("R$"* \(#,##0.00\);_("R$"* "-"??_);_(@_)</c:formatCode>
                <c:ptCount val="5"/>
                <c:pt idx="0">
                  <c:v>0</c:v>
                </c:pt>
                <c:pt idx="1">
                  <c:v>100</c:v>
                </c:pt>
                <c:pt idx="2">
                  <c:v>100</c:v>
                </c:pt>
                <c:pt idx="3">
                  <c:v>0</c:v>
                </c:pt>
                <c:pt idx="4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01D-4D10-9E46-F8852D4A625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dinâmica10</c:name>
    <c:fmtId val="8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spc="5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Total Dinheiro a Acumulados Ate o Momento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spc="5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Planilha4!$E$5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10800000" scaled="1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Planilha4!$D$6:$D$14</c:f>
              <c:strCache>
                <c:ptCount val="8"/>
                <c:pt idx="0">
                  <c:v>Academia</c:v>
                </c:pt>
                <c:pt idx="1">
                  <c:v>Aposentar</c:v>
                </c:pt>
                <c:pt idx="2">
                  <c:v>Bens</c:v>
                </c:pt>
                <c:pt idx="3">
                  <c:v>Cabelo</c:v>
                </c:pt>
                <c:pt idx="4">
                  <c:v>Casa 100</c:v>
                </c:pt>
                <c:pt idx="5">
                  <c:v>Estudos</c:v>
                </c:pt>
                <c:pt idx="6">
                  <c:v>Planos de Medio</c:v>
                </c:pt>
                <c:pt idx="7">
                  <c:v>Racão</c:v>
                </c:pt>
              </c:strCache>
            </c:strRef>
          </c:cat>
          <c:val>
            <c:numRef>
              <c:f>Planilha4!$E$6:$E$14</c:f>
              <c:numCache>
                <c:formatCode>_("R$"* #,##0.00_);_("R$"* \(#,##0.00\);_("R$"* "-"??_);_(@_)</c:formatCode>
                <c:ptCount val="8"/>
                <c:pt idx="0">
                  <c:v>280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200</c:v>
                </c:pt>
                <c:pt idx="5">
                  <c:v>0</c:v>
                </c:pt>
                <c:pt idx="6">
                  <c:v>0</c:v>
                </c:pt>
                <c:pt idx="7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80-4E64-AC1A-2920B86029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494189552"/>
        <c:axId val="494188896"/>
        <c:axId val="0"/>
      </c:bar3DChart>
      <c:catAx>
        <c:axId val="494189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4188896"/>
        <c:crosses val="autoZero"/>
        <c:auto val="1"/>
        <c:lblAlgn val="ctr"/>
        <c:lblOffset val="100"/>
        <c:noMultiLvlLbl val="0"/>
      </c:catAx>
      <c:valAx>
        <c:axId val="4941888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9418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Gasto Totais Do Mês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base!$Q$4</c:f>
              <c:strCache>
                <c:ptCount val="1"/>
                <c:pt idx="0">
                  <c:v>Bens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base!$Q$5</c:f>
              <c:numCache>
                <c:formatCode>_("R$"* #,##0.00_);_("R$"* \(#,##0.00\);_("R$"* "-"??_);_(@_)</c:formatCode>
                <c:ptCount val="1"/>
                <c:pt idx="0">
                  <c:v>-85.99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0D-4B00-867A-75F8F9E7A74C}"/>
            </c:ext>
          </c:extLst>
        </c:ser>
        <c:ser>
          <c:idx val="2"/>
          <c:order val="2"/>
          <c:tx>
            <c:strRef>
              <c:f>base!$R$4</c:f>
              <c:strCache>
                <c:ptCount val="1"/>
                <c:pt idx="0">
                  <c:v>Lazer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base!$R$5</c:f>
              <c:numCache>
                <c:formatCode>_("R$"* #,##0.00_);_("R$"* \(#,##0.00\);_("R$"* "-"??_);_(@_)</c:formatCode>
                <c:ptCount val="1"/>
                <c:pt idx="0">
                  <c:v>-33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0D-4B00-867A-75F8F9E7A74C}"/>
            </c:ext>
          </c:extLst>
        </c:ser>
        <c:ser>
          <c:idx val="3"/>
          <c:order val="3"/>
          <c:tx>
            <c:strRef>
              <c:f>base!$S$4</c:f>
              <c:strCache>
                <c:ptCount val="1"/>
                <c:pt idx="0">
                  <c:v>Alimentação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base!$S$5</c:f>
              <c:numCache>
                <c:formatCode>_("R$"* #,##0.00_);_("R$"* \(#,##0.00\);_("R$"* "-"??_);_(@_)</c:formatCode>
                <c:ptCount val="1"/>
                <c:pt idx="0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0D-4B00-867A-75F8F9E7A74C}"/>
            </c:ext>
          </c:extLst>
        </c:ser>
        <c:ser>
          <c:idx val="4"/>
          <c:order val="4"/>
          <c:tx>
            <c:strRef>
              <c:f>base!$T$4</c:f>
              <c:strCache>
                <c:ptCount val="1"/>
                <c:pt idx="0">
                  <c:v>Cabelo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base!$T$5</c:f>
              <c:numCache>
                <c:formatCode>_("R$"* #,##0.00_);_("R$"* \(#,##0.00\);_("R$"* "-"??_);_(@_)</c:formatCode>
                <c:ptCount val="1"/>
                <c:pt idx="0">
                  <c:v>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0D-4B00-867A-75F8F9E7A74C}"/>
            </c:ext>
          </c:extLst>
        </c:ser>
        <c:ser>
          <c:idx val="5"/>
          <c:order val="5"/>
          <c:tx>
            <c:strRef>
              <c:f>base!$U$4</c:f>
              <c:strCache>
                <c:ptCount val="1"/>
                <c:pt idx="0">
                  <c:v>Dízimo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base!$U$5</c:f>
              <c:numCache>
                <c:formatCode>_("R$"* #,##0.00_);_("R$"* \(#,##0.00\);_("R$"* "-"??_);_(@_)</c:formatCode>
                <c:ptCount val="1"/>
                <c:pt idx="0">
                  <c:v>-66.5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0D-4B00-867A-75F8F9E7A74C}"/>
            </c:ext>
          </c:extLst>
        </c:ser>
        <c:ser>
          <c:idx val="6"/>
          <c:order val="6"/>
          <c:tx>
            <c:strRef>
              <c:f>base!$V$4</c:f>
              <c:strCache>
                <c:ptCount val="1"/>
                <c:pt idx="0">
                  <c:v>Entradas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base!$V$5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0D-4B00-867A-75F8F9E7A7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01330152"/>
        <c:axId val="40133048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base!$P$4</c15:sqref>
                        </c15:formulaRef>
                      </c:ext>
                    </c:extLst>
                    <c:strCache>
                      <c:ptCount val="1"/>
                      <c:pt idx="0">
                        <c:v>Mês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base!$P$5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F0D-4B00-867A-75F8F9E7A74C}"/>
                  </c:ext>
                </c:extLst>
              </c15:ser>
            </c15:filteredBarSeries>
          </c:ext>
        </c:extLst>
      </c:barChart>
      <c:catAx>
        <c:axId val="401330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330480"/>
        <c:crosses val="autoZero"/>
        <c:auto val="1"/>
        <c:lblAlgn val="ctr"/>
        <c:lblOffset val="100"/>
        <c:noMultiLvlLbl val="0"/>
      </c:catAx>
      <c:valAx>
        <c:axId val="4013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330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 flip="none" rotWithShape="1"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10800000" scaled="1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base!A1"/><Relationship Id="rId7" Type="http://schemas.openxmlformats.org/officeDocument/2006/relationships/image" Target="../media/image2.png"/><Relationship Id="rId2" Type="http://schemas.openxmlformats.org/officeDocument/2006/relationships/hyperlink" Target="#acumulado!A1"/><Relationship Id="rId1" Type="http://schemas.openxmlformats.org/officeDocument/2006/relationships/hyperlink" Target="#dashBoard!A1"/><Relationship Id="rId6" Type="http://schemas.openxmlformats.org/officeDocument/2006/relationships/image" Target="../media/image1.png"/><Relationship Id="rId11" Type="http://schemas.openxmlformats.org/officeDocument/2006/relationships/image" Target="../media/image4.png"/><Relationship Id="rId5" Type="http://schemas.openxmlformats.org/officeDocument/2006/relationships/chart" Target="../charts/chart2.xml"/><Relationship Id="rId10" Type="http://schemas.openxmlformats.org/officeDocument/2006/relationships/chart" Target="../charts/chart4.xml"/><Relationship Id="rId4" Type="http://schemas.openxmlformats.org/officeDocument/2006/relationships/chart" Target="../charts/chart1.xml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107324</xdr:colOff>
      <xdr:row>0</xdr:row>
      <xdr:rowOff>53661</xdr:rowOff>
    </xdr:from>
    <xdr:to>
      <xdr:col>27</xdr:col>
      <xdr:colOff>201232</xdr:colOff>
      <xdr:row>32</xdr:row>
      <xdr:rowOff>120739</xdr:rowOff>
    </xdr:to>
    <xdr:sp macro="" textlink="">
      <xdr:nvSpPr>
        <xdr:cNvPr id="3" name="Retângulo Arredondado 2"/>
        <xdr:cNvSpPr/>
      </xdr:nvSpPr>
      <xdr:spPr>
        <a:xfrm>
          <a:off x="107324" y="53661"/>
          <a:ext cx="16685843" cy="6294175"/>
        </a:xfrm>
        <a:prstGeom prst="roundRect">
          <a:avLst>
            <a:gd name="adj" fmla="val 7616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101714</xdr:colOff>
      <xdr:row>0</xdr:row>
      <xdr:rowOff>0</xdr:rowOff>
    </xdr:from>
    <xdr:to>
      <xdr:col>6</xdr:col>
      <xdr:colOff>121227</xdr:colOff>
      <xdr:row>32</xdr:row>
      <xdr:rowOff>134155</xdr:rowOff>
    </xdr:to>
    <xdr:sp macro="" textlink="">
      <xdr:nvSpPr>
        <xdr:cNvPr id="4" name="Retângulo Arredondado 3"/>
        <xdr:cNvSpPr/>
      </xdr:nvSpPr>
      <xdr:spPr>
        <a:xfrm>
          <a:off x="101714" y="0"/>
          <a:ext cx="3693442" cy="6230155"/>
        </a:xfrm>
        <a:prstGeom prst="roundRect">
          <a:avLst>
            <a:gd name="adj" fmla="val 12988"/>
          </a:avLst>
        </a:prstGeom>
        <a:solidFill>
          <a:srgbClr val="0066CC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547936</xdr:colOff>
      <xdr:row>0</xdr:row>
      <xdr:rowOff>179092</xdr:rowOff>
    </xdr:from>
    <xdr:to>
      <xdr:col>13</xdr:col>
      <xdr:colOff>343829</xdr:colOff>
      <xdr:row>14</xdr:row>
      <xdr:rowOff>131620</xdr:rowOff>
    </xdr:to>
    <xdr:sp macro="" textlink="">
      <xdr:nvSpPr>
        <xdr:cNvPr id="6" name="Retângulo Arredondado 5"/>
        <xdr:cNvSpPr/>
      </xdr:nvSpPr>
      <xdr:spPr>
        <a:xfrm>
          <a:off x="4172082" y="179092"/>
          <a:ext cx="4024064" cy="2554479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403413</xdr:colOff>
      <xdr:row>1</xdr:row>
      <xdr:rowOff>33618</xdr:rowOff>
    </xdr:from>
    <xdr:to>
      <xdr:col>20</xdr:col>
      <xdr:colOff>27215</xdr:colOff>
      <xdr:row>14</xdr:row>
      <xdr:rowOff>131619</xdr:rowOff>
    </xdr:to>
    <xdr:sp macro="" textlink="">
      <xdr:nvSpPr>
        <xdr:cNvPr id="8" name="Retângulo Arredondado 7"/>
        <xdr:cNvSpPr/>
      </xdr:nvSpPr>
      <xdr:spPr>
        <a:xfrm>
          <a:off x="8255730" y="219472"/>
          <a:ext cx="3851973" cy="2514098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512617</xdr:colOff>
      <xdr:row>16</xdr:row>
      <xdr:rowOff>0</xdr:rowOff>
    </xdr:from>
    <xdr:to>
      <xdr:col>21</xdr:col>
      <xdr:colOff>17318</xdr:colOff>
      <xdr:row>30</xdr:row>
      <xdr:rowOff>103909</xdr:rowOff>
    </xdr:to>
    <xdr:sp macro="" textlink="">
      <xdr:nvSpPr>
        <xdr:cNvPr id="9" name="Retângulo Arredondado 8"/>
        <xdr:cNvSpPr/>
      </xdr:nvSpPr>
      <xdr:spPr>
        <a:xfrm>
          <a:off x="4186546" y="3048000"/>
          <a:ext cx="8689522" cy="2770909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131867</xdr:colOff>
      <xdr:row>16</xdr:row>
      <xdr:rowOff>81644</xdr:rowOff>
    </xdr:from>
    <xdr:to>
      <xdr:col>26</xdr:col>
      <xdr:colOff>551976</xdr:colOff>
      <xdr:row>30</xdr:row>
      <xdr:rowOff>103910</xdr:rowOff>
    </xdr:to>
    <xdr:sp macro="" textlink="">
      <xdr:nvSpPr>
        <xdr:cNvPr id="10" name="Retângulo Arredondado 9"/>
        <xdr:cNvSpPr/>
      </xdr:nvSpPr>
      <xdr:spPr>
        <a:xfrm>
          <a:off x="12887084" y="3173818"/>
          <a:ext cx="3457066" cy="2727918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467455</xdr:colOff>
      <xdr:row>15</xdr:row>
      <xdr:rowOff>62394</xdr:rowOff>
    </xdr:from>
    <xdr:to>
      <xdr:col>5</xdr:col>
      <xdr:colOff>222527</xdr:colOff>
      <xdr:row>18</xdr:row>
      <xdr:rowOff>48787</xdr:rowOff>
    </xdr:to>
    <xdr:sp macro="" textlink="">
      <xdr:nvSpPr>
        <xdr:cNvPr id="11" name="Retângulo Arredondado 10">
          <a:hlinkClick xmlns:r="http://schemas.openxmlformats.org/officeDocument/2006/relationships" r:id="rId1"/>
        </xdr:cNvPr>
        <xdr:cNvSpPr/>
      </xdr:nvSpPr>
      <xdr:spPr>
        <a:xfrm>
          <a:off x="467455" y="2850199"/>
          <a:ext cx="2775194" cy="543954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latin typeface="HP Simplified" panose="020B0606020204020204" pitchFamily="34" charset="0"/>
            </a:rPr>
            <a:t>DashBoard</a:t>
          </a:r>
          <a:endParaRPr lang="pt-BR" sz="1100" b="1">
            <a:latin typeface="HP Simplified" panose="020B0606020204020204" pitchFamily="34" charset="0"/>
          </a:endParaRPr>
        </a:p>
      </xdr:txBody>
    </xdr:sp>
    <xdr:clientData/>
  </xdr:twoCellAnchor>
  <xdr:twoCellAnchor>
    <xdr:from>
      <xdr:col>0</xdr:col>
      <xdr:colOff>432606</xdr:colOff>
      <xdr:row>18</xdr:row>
      <xdr:rowOff>88016</xdr:rowOff>
    </xdr:from>
    <xdr:to>
      <xdr:col>5</xdr:col>
      <xdr:colOff>187678</xdr:colOff>
      <xdr:row>21</xdr:row>
      <xdr:rowOff>74409</xdr:rowOff>
    </xdr:to>
    <xdr:sp macro="[0]!exibicaoFluxo_Caixa" textlink="">
      <xdr:nvSpPr>
        <xdr:cNvPr id="14" name="Retângulo Arredondado 13"/>
        <xdr:cNvSpPr/>
      </xdr:nvSpPr>
      <xdr:spPr>
        <a:xfrm>
          <a:off x="432606" y="3433382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Fluxo de Caixa</a:t>
          </a:r>
          <a:endParaRPr lang="pt-BR" sz="1100"/>
        </a:p>
      </xdr:txBody>
    </xdr:sp>
    <xdr:clientData/>
  </xdr:twoCellAnchor>
  <xdr:twoCellAnchor>
    <xdr:from>
      <xdr:col>0</xdr:col>
      <xdr:colOff>455839</xdr:colOff>
      <xdr:row>21</xdr:row>
      <xdr:rowOff>141514</xdr:rowOff>
    </xdr:from>
    <xdr:to>
      <xdr:col>5</xdr:col>
      <xdr:colOff>210911</xdr:colOff>
      <xdr:row>24</xdr:row>
      <xdr:rowOff>127907</xdr:rowOff>
    </xdr:to>
    <xdr:sp macro="" textlink="">
      <xdr:nvSpPr>
        <xdr:cNvPr id="16" name="Retângulo Arredondado 15">
          <a:hlinkClick xmlns:r="http://schemas.openxmlformats.org/officeDocument/2006/relationships" r:id="rId2"/>
        </xdr:cNvPr>
        <xdr:cNvSpPr/>
      </xdr:nvSpPr>
      <xdr:spPr>
        <a:xfrm>
          <a:off x="455839" y="4044441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Acumulados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455839</xdr:colOff>
      <xdr:row>25</xdr:row>
      <xdr:rowOff>21772</xdr:rowOff>
    </xdr:from>
    <xdr:to>
      <xdr:col>5</xdr:col>
      <xdr:colOff>210911</xdr:colOff>
      <xdr:row>28</xdr:row>
      <xdr:rowOff>8165</xdr:rowOff>
    </xdr:to>
    <xdr:sp macro="" textlink="">
      <xdr:nvSpPr>
        <xdr:cNvPr id="17" name="Retângulo Arredondado 16"/>
        <xdr:cNvSpPr/>
      </xdr:nvSpPr>
      <xdr:spPr>
        <a:xfrm>
          <a:off x="455839" y="4668113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Chaves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517860</xdr:colOff>
      <xdr:row>28</xdr:row>
      <xdr:rowOff>119745</xdr:rowOff>
    </xdr:from>
    <xdr:to>
      <xdr:col>2</xdr:col>
      <xdr:colOff>585895</xdr:colOff>
      <xdr:row>31</xdr:row>
      <xdr:rowOff>95251</xdr:rowOff>
    </xdr:to>
    <xdr:sp macro="" textlink="">
      <xdr:nvSpPr>
        <xdr:cNvPr id="18" name="Retângulo Arredondado 17">
          <a:hlinkClick xmlns:r="http://schemas.openxmlformats.org/officeDocument/2006/relationships" r:id="rId3"/>
        </xdr:cNvPr>
        <xdr:cNvSpPr/>
      </xdr:nvSpPr>
      <xdr:spPr>
        <a:xfrm>
          <a:off x="517860" y="5531049"/>
          <a:ext cx="1282818" cy="555289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100691</xdr:colOff>
      <xdr:row>28</xdr:row>
      <xdr:rowOff>111582</xdr:rowOff>
    </xdr:from>
    <xdr:to>
      <xdr:col>5</xdr:col>
      <xdr:colOff>152400</xdr:colOff>
      <xdr:row>31</xdr:row>
      <xdr:rowOff>87088</xdr:rowOff>
    </xdr:to>
    <xdr:sp macro="[0]!Sair" textlink="">
      <xdr:nvSpPr>
        <xdr:cNvPr id="19" name="Retângulo Arredondado 18"/>
        <xdr:cNvSpPr/>
      </xdr:nvSpPr>
      <xdr:spPr>
        <a:xfrm>
          <a:off x="1929491" y="5445582"/>
          <a:ext cx="1270909" cy="547006"/>
        </a:xfrm>
        <a:prstGeom prst="roundRect">
          <a:avLst>
            <a:gd name="adj" fmla="val 47619"/>
          </a:avLst>
        </a:prstGeom>
        <a:gradFill flip="none" rotWithShape="1">
          <a:gsLst>
            <a:gs pos="0">
              <a:schemeClr val="accent5">
                <a:lumMod val="75000"/>
                <a:shade val="30000"/>
                <a:satMod val="115000"/>
              </a:schemeClr>
            </a:gs>
            <a:gs pos="50000">
              <a:schemeClr val="accent5">
                <a:lumMod val="75000"/>
                <a:shade val="67500"/>
                <a:satMod val="115000"/>
              </a:schemeClr>
            </a:gs>
            <a:gs pos="100000">
              <a:schemeClr val="accent5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Sair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387969</xdr:colOff>
      <xdr:row>1</xdr:row>
      <xdr:rowOff>180213</xdr:rowOff>
    </xdr:from>
    <xdr:to>
      <xdr:col>3</xdr:col>
      <xdr:colOff>499481</xdr:colOff>
      <xdr:row>5</xdr:row>
      <xdr:rowOff>81311</xdr:rowOff>
    </xdr:to>
    <xdr:sp macro="" textlink="">
      <xdr:nvSpPr>
        <xdr:cNvPr id="23" name="CaixaDeTexto 22"/>
        <xdr:cNvSpPr txBox="1"/>
      </xdr:nvSpPr>
      <xdr:spPr>
        <a:xfrm>
          <a:off x="387969" y="366067"/>
          <a:ext cx="1923585" cy="644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800" b="1" i="1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João Dash</a:t>
          </a:r>
          <a:endParaRPr kumimoji="0" lang="pt-BR" sz="1400" b="1" i="1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endParaRPr lang="pt-BR" sz="1400"/>
        </a:p>
      </xdr:txBody>
    </xdr:sp>
    <xdr:clientData/>
  </xdr:twoCellAnchor>
  <xdr:twoCellAnchor>
    <xdr:from>
      <xdr:col>7</xdr:col>
      <xdr:colOff>217714</xdr:colOff>
      <xdr:row>17</xdr:row>
      <xdr:rowOff>13607</xdr:rowOff>
    </xdr:from>
    <xdr:to>
      <xdr:col>20</xdr:col>
      <xdr:colOff>231321</xdr:colOff>
      <xdr:row>30</xdr:row>
      <xdr:rowOff>35378</xdr:rowOff>
    </xdr:to>
    <xdr:graphicFrame macro="">
      <xdr:nvGraphicFramePr>
        <xdr:cNvPr id="34" name="Gráfico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350568</xdr:colOff>
      <xdr:row>19</xdr:row>
      <xdr:rowOff>163287</xdr:rowOff>
    </xdr:from>
    <xdr:to>
      <xdr:col>24</xdr:col>
      <xdr:colOff>342900</xdr:colOff>
      <xdr:row>24</xdr:row>
      <xdr:rowOff>63501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5" name="Mê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52168" y="3782787"/>
              <a:ext cx="1821132" cy="8527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54430</xdr:colOff>
      <xdr:row>1</xdr:row>
      <xdr:rowOff>95250</xdr:rowOff>
    </xdr:from>
    <xdr:to>
      <xdr:col>12</xdr:col>
      <xdr:colOff>503465</xdr:colOff>
      <xdr:row>14</xdr:row>
      <xdr:rowOff>8165</xdr:rowOff>
    </xdr:to>
    <xdr:graphicFrame macro="">
      <xdr:nvGraphicFramePr>
        <xdr:cNvPr id="37" name="Gráfico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21</xdr:col>
      <xdr:colOff>366577</xdr:colOff>
      <xdr:row>24</xdr:row>
      <xdr:rowOff>44823</xdr:rowOff>
    </xdr:from>
    <xdr:to>
      <xdr:col>26</xdr:col>
      <xdr:colOff>203200</xdr:colOff>
      <xdr:row>29</xdr:row>
      <xdr:rowOff>50800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Banc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n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68177" y="4616823"/>
              <a:ext cx="2884623" cy="958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20</xdr:col>
      <xdr:colOff>137808</xdr:colOff>
      <xdr:row>0</xdr:row>
      <xdr:rowOff>188064</xdr:rowOff>
    </xdr:from>
    <xdr:to>
      <xdr:col>26</xdr:col>
      <xdr:colOff>552174</xdr:colOff>
      <xdr:row>14</xdr:row>
      <xdr:rowOff>104010</xdr:rowOff>
    </xdr:to>
    <xdr:sp macro="" textlink="">
      <xdr:nvSpPr>
        <xdr:cNvPr id="39" name="Retângulo Arredondado 38"/>
        <xdr:cNvSpPr/>
      </xdr:nvSpPr>
      <xdr:spPr>
        <a:xfrm>
          <a:off x="12285634" y="188064"/>
          <a:ext cx="4058714" cy="2621598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182232</xdr:colOff>
      <xdr:row>6</xdr:row>
      <xdr:rowOff>81312</xdr:rowOff>
    </xdr:from>
    <xdr:to>
      <xdr:col>5</xdr:col>
      <xdr:colOff>557560</xdr:colOff>
      <xdr:row>12</xdr:row>
      <xdr:rowOff>69696</xdr:rowOff>
    </xdr:to>
    <xdr:sp macro="" textlink="">
      <xdr:nvSpPr>
        <xdr:cNvPr id="41" name="Retângulo Arredondado 40"/>
        <xdr:cNvSpPr/>
      </xdr:nvSpPr>
      <xdr:spPr>
        <a:xfrm>
          <a:off x="1994305" y="1196434"/>
          <a:ext cx="1583377" cy="1103506"/>
        </a:xfrm>
        <a:prstGeom prst="roundRect">
          <a:avLst>
            <a:gd name="adj" fmla="val 41954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285750</xdr:colOff>
      <xdr:row>9</xdr:row>
      <xdr:rowOff>34849</xdr:rowOff>
    </xdr:from>
    <xdr:to>
      <xdr:col>5</xdr:col>
      <xdr:colOff>406554</xdr:colOff>
      <xdr:row>11</xdr:row>
      <xdr:rowOff>69696</xdr:rowOff>
    </xdr:to>
    <xdr:sp macro="" textlink="Planilha4!K10">
      <xdr:nvSpPr>
        <xdr:cNvPr id="42" name="CaixaDeTexto 41"/>
        <xdr:cNvSpPr txBox="1"/>
      </xdr:nvSpPr>
      <xdr:spPr>
        <a:xfrm>
          <a:off x="2114550" y="1749349"/>
          <a:ext cx="1340004" cy="4158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BE24163-9422-4E52-8F58-A44FA716879A}" type="TxLink">
            <a:rPr lang="en-US" sz="1600" b="0" i="0" u="none" strike="noStrike">
              <a:solidFill>
                <a:srgbClr val="000000"/>
              </a:solidFill>
              <a:latin typeface="HP Simplified" panose="020B0606020204020204" pitchFamily="34" charset="0"/>
              <a:cs typeface="Calibri"/>
            </a:rPr>
            <a:pPr/>
            <a:t> R$ 2.200,00 </a:t>
          </a:fld>
          <a:endParaRPr lang="pt-BR" sz="2800">
            <a:solidFill>
              <a:schemeClr val="tx1">
                <a:lumMod val="65000"/>
                <a:lumOff val="35000"/>
              </a:schemeClr>
            </a:solidFill>
            <a:latin typeface="HP Simplified" panose="020B0606020204020204" pitchFamily="34" charset="0"/>
          </a:endParaRPr>
        </a:p>
      </xdr:txBody>
    </xdr:sp>
    <xdr:clientData/>
  </xdr:twoCellAnchor>
  <xdr:twoCellAnchor>
    <xdr:from>
      <xdr:col>3</xdr:col>
      <xdr:colOff>325243</xdr:colOff>
      <xdr:row>7</xdr:row>
      <xdr:rowOff>116158</xdr:rowOff>
    </xdr:from>
    <xdr:to>
      <xdr:col>5</xdr:col>
      <xdr:colOff>441401</xdr:colOff>
      <xdr:row>8</xdr:row>
      <xdr:rowOff>174237</xdr:rowOff>
    </xdr:to>
    <xdr:sp macro="" textlink="">
      <xdr:nvSpPr>
        <xdr:cNvPr id="44" name="CaixaDeTexto 43"/>
        <xdr:cNvSpPr txBox="1"/>
      </xdr:nvSpPr>
      <xdr:spPr>
        <a:xfrm>
          <a:off x="2137316" y="1417134"/>
          <a:ext cx="1324207" cy="24393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 u="none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Valores</a:t>
          </a:r>
          <a:r>
            <a:rPr lang="pt-BR" sz="1400" baseline="0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 </a:t>
          </a:r>
          <a:r>
            <a:rPr lang="pt-BR" sz="1400" b="1" u="none" baseline="0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Totais</a:t>
          </a:r>
          <a:endParaRPr lang="pt-BR" sz="1400" b="1" u="none">
            <a:solidFill>
              <a:schemeClr val="tx1">
                <a:lumMod val="65000"/>
                <a:lumOff val="35000"/>
              </a:schemeClr>
            </a:solidFill>
            <a:latin typeface="HP Simplified" panose="020B0606020204020204" pitchFamily="34" charset="0"/>
          </a:endParaRPr>
        </a:p>
      </xdr:txBody>
    </xdr:sp>
    <xdr:clientData/>
  </xdr:twoCellAnchor>
  <xdr:twoCellAnchor editAs="oneCell">
    <xdr:from>
      <xdr:col>4</xdr:col>
      <xdr:colOff>58079</xdr:colOff>
      <xdr:row>15</xdr:row>
      <xdr:rowOff>127775</xdr:rowOff>
    </xdr:from>
    <xdr:to>
      <xdr:col>4</xdr:col>
      <xdr:colOff>577375</xdr:colOff>
      <xdr:row>18</xdr:row>
      <xdr:rowOff>34847</xdr:rowOff>
    </xdr:to>
    <xdr:pic>
      <xdr:nvPicPr>
        <xdr:cNvPr id="47" name="Imagem 46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4177" y="2915580"/>
          <a:ext cx="519296" cy="464633"/>
        </a:xfrm>
        <a:prstGeom prst="rect">
          <a:avLst/>
        </a:prstGeom>
      </xdr:spPr>
    </xdr:pic>
    <xdr:clientData/>
  </xdr:twoCellAnchor>
  <xdr:twoCellAnchor editAs="oneCell">
    <xdr:from>
      <xdr:col>4</xdr:col>
      <xdr:colOff>174237</xdr:colOff>
      <xdr:row>18</xdr:row>
      <xdr:rowOff>128858</xdr:rowOff>
    </xdr:from>
    <xdr:to>
      <xdr:col>4</xdr:col>
      <xdr:colOff>596900</xdr:colOff>
      <xdr:row>20</xdr:row>
      <xdr:rowOff>178237</xdr:rowOff>
    </xdr:to>
    <xdr:pic>
      <xdr:nvPicPr>
        <xdr:cNvPr id="49" name="Imagem 48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2637" y="3557858"/>
          <a:ext cx="422663" cy="430379"/>
        </a:xfrm>
        <a:prstGeom prst="rect">
          <a:avLst/>
        </a:prstGeom>
      </xdr:spPr>
    </xdr:pic>
    <xdr:clientData/>
  </xdr:twoCellAnchor>
  <xdr:twoCellAnchor editAs="oneCell">
    <xdr:from>
      <xdr:col>0</xdr:col>
      <xdr:colOff>545945</xdr:colOff>
      <xdr:row>6</xdr:row>
      <xdr:rowOff>139390</xdr:rowOff>
    </xdr:from>
    <xdr:to>
      <xdr:col>2</xdr:col>
      <xdr:colOff>423746</xdr:colOff>
      <xdr:row>11</xdr:row>
      <xdr:rowOff>181672</xdr:rowOff>
    </xdr:to>
    <xdr:pic>
      <xdr:nvPicPr>
        <xdr:cNvPr id="48" name="Imagem 47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945" y="1254512"/>
          <a:ext cx="1085850" cy="971550"/>
        </a:xfrm>
        <a:prstGeom prst="rect">
          <a:avLst/>
        </a:prstGeom>
      </xdr:spPr>
    </xdr:pic>
    <xdr:clientData/>
  </xdr:twoCellAnchor>
  <xdr:twoCellAnchor>
    <xdr:from>
      <xdr:col>13</xdr:col>
      <xdr:colOff>590317</xdr:colOff>
      <xdr:row>1</xdr:row>
      <xdr:rowOff>172146</xdr:rowOff>
    </xdr:from>
    <xdr:to>
      <xdr:col>19</xdr:col>
      <xdr:colOff>299922</xdr:colOff>
      <xdr:row>14</xdr:row>
      <xdr:rowOff>55988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303696</xdr:colOff>
      <xdr:row>1</xdr:row>
      <xdr:rowOff>179456</xdr:rowOff>
    </xdr:from>
    <xdr:to>
      <xdr:col>26</xdr:col>
      <xdr:colOff>386522</xdr:colOff>
      <xdr:row>13</xdr:row>
      <xdr:rowOff>151848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475284</xdr:colOff>
      <xdr:row>17</xdr:row>
      <xdr:rowOff>154746</xdr:rowOff>
    </xdr:from>
    <xdr:to>
      <xdr:col>26</xdr:col>
      <xdr:colOff>303834</xdr:colOff>
      <xdr:row>21</xdr:row>
      <xdr:rowOff>69021</xdr:rowOff>
    </xdr:to>
    <xdr:sp macro="" textlink="">
      <xdr:nvSpPr>
        <xdr:cNvPr id="52" name="Fluxograma: Conector 51"/>
        <xdr:cNvSpPr/>
      </xdr:nvSpPr>
      <xdr:spPr>
        <a:xfrm>
          <a:off x="15052675" y="3440181"/>
          <a:ext cx="1043333" cy="687318"/>
        </a:xfrm>
        <a:prstGeom prst="flowChartConnector">
          <a:avLst/>
        </a:prstGeom>
        <a:solidFill>
          <a:srgbClr val="0066CC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HP Simplified" panose="020B0606020204020204" pitchFamily="34" charset="0"/>
            </a:rPr>
            <a:t>Controles</a:t>
          </a:r>
        </a:p>
      </xdr:txBody>
    </xdr:sp>
    <xdr:clientData/>
  </xdr:twoCellAnchor>
  <xdr:twoCellAnchor>
    <xdr:from>
      <xdr:col>4</xdr:col>
      <xdr:colOff>156799</xdr:colOff>
      <xdr:row>2</xdr:row>
      <xdr:rowOff>16368</xdr:rowOff>
    </xdr:from>
    <xdr:to>
      <xdr:col>5</xdr:col>
      <xdr:colOff>509475</xdr:colOff>
      <xdr:row>3</xdr:row>
      <xdr:rowOff>155058</xdr:rowOff>
    </xdr:to>
    <xdr:sp macro="[0]!atualizandoDashboard" textlink="">
      <xdr:nvSpPr>
        <xdr:cNvPr id="30" name="Retângulo Arredondado 29"/>
        <xdr:cNvSpPr/>
      </xdr:nvSpPr>
      <xdr:spPr>
        <a:xfrm>
          <a:off x="2593427" y="392938"/>
          <a:ext cx="961833" cy="326975"/>
        </a:xfrm>
        <a:prstGeom prst="roundRect">
          <a:avLst>
            <a:gd name="adj" fmla="val 47619"/>
          </a:avLst>
        </a:prstGeom>
        <a:gradFill flip="none" rotWithShape="1">
          <a:gsLst>
            <a:gs pos="0">
              <a:srgbClr val="0099FF">
                <a:shade val="30000"/>
                <a:satMod val="115000"/>
              </a:srgbClr>
            </a:gs>
            <a:gs pos="50000">
              <a:srgbClr val="0099FF">
                <a:shade val="67500"/>
                <a:satMod val="115000"/>
              </a:srgbClr>
            </a:gs>
            <a:gs pos="100000">
              <a:srgbClr val="0099FF">
                <a:shade val="100000"/>
                <a:satMod val="115000"/>
              </a:srgbClr>
            </a:gs>
          </a:gsLst>
          <a:lin ang="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Atualizar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342900</xdr:colOff>
      <xdr:row>29</xdr:row>
      <xdr:rowOff>12700</xdr:rowOff>
    </xdr:from>
    <xdr:to>
      <xdr:col>2</xdr:col>
      <xdr:colOff>139700</xdr:colOff>
      <xdr:row>31</xdr:row>
      <xdr:rowOff>38100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5537200"/>
          <a:ext cx="406400" cy="406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14</xdr:row>
      <xdr:rowOff>88576</xdr:rowOff>
    </xdr:from>
    <xdr:to>
      <xdr:col>8</xdr:col>
      <xdr:colOff>161192</xdr:colOff>
      <xdr:row>16</xdr:row>
      <xdr:rowOff>153865</xdr:rowOff>
    </xdr:to>
    <xdr:sp macro="" textlink="">
      <xdr:nvSpPr>
        <xdr:cNvPr id="3" name="Retângulo Arredondado 2">
          <a:hlinkClick xmlns:r="http://schemas.openxmlformats.org/officeDocument/2006/relationships" r:id="rId1"/>
        </xdr:cNvPr>
        <xdr:cNvSpPr/>
      </xdr:nvSpPr>
      <xdr:spPr>
        <a:xfrm>
          <a:off x="5106864" y="2755576"/>
          <a:ext cx="1186963" cy="446289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HP Simplified" panose="020B0606020204020204" pitchFamily="34" charset="0"/>
            </a:rPr>
            <a:t>DashBoard</a:t>
          </a:r>
          <a:endParaRPr lang="pt-BR" sz="900" b="1">
            <a:latin typeface="HP Simplified" panose="020B0606020204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74916</xdr:colOff>
      <xdr:row>10</xdr:row>
      <xdr:rowOff>214045</xdr:rowOff>
    </xdr:from>
    <xdr:to>
      <xdr:col>1</xdr:col>
      <xdr:colOff>191654</xdr:colOff>
      <xdr:row>12</xdr:row>
      <xdr:rowOff>189435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4916" y="2568539"/>
          <a:ext cx="1186963" cy="446289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HP Simplified" panose="020B0606020204020204" pitchFamily="34" charset="0"/>
            </a:rPr>
            <a:t>DashBoard</a:t>
          </a:r>
          <a:endParaRPr lang="pt-BR" sz="900" b="1">
            <a:latin typeface="HP Simplified" panose="020B0606020204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AO" refreshedDate="44431.801677199073" createdVersion="6" refreshedVersion="6" minRefreshableVersion="3" recordCount="5">
  <cacheSource type="worksheet">
    <worksheetSource ref="M2:N7" sheet="base"/>
  </cacheSource>
  <cacheFields count="2">
    <cacheField name="Banco" numFmtId="0">
      <sharedItems count="5">
        <s v="Nu"/>
        <s v="Bradesco"/>
        <s v="Next"/>
        <s v="PicPay"/>
        <s v="Carteira"/>
      </sharedItems>
    </cacheField>
    <cacheField name="Valores2" numFmtId="44">
      <sharedItems containsSemiMixedTypes="0" containsString="0" containsNumber="1" containsInteger="1" minValue="0" maxValue="2000"/>
    </cacheField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AO" refreshedDate="44431.801677546297" createdVersion="6" refreshedVersion="6" minRefreshableVersion="3" recordCount="3">
  <cacheSource type="worksheet">
    <worksheetSource name="Tabela11"/>
  </cacheSource>
  <cacheFields count="2">
    <cacheField name="Mês" numFmtId="17">
      <sharedItems count="3">
        <s v="Junho"/>
        <s v="Julho"/>
        <s v="Agosto"/>
      </sharedItems>
    </cacheField>
    <cacheField name="Totais" numFmtId="44">
      <sharedItems containsSemiMixedTypes="0" containsString="0" containsNumber="1" minValue="200" maxValue="3876.14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OAO" refreshedDate="44431.801677777781" createdVersion="6" refreshedVersion="6" minRefreshableVersion="3" recordCount="16">
  <cacheSource type="worksheet">
    <worksheetSource name="Tabela2"/>
  </cacheSource>
  <cacheFields count="6">
    <cacheField name="ID" numFmtId="0">
      <sharedItems containsString="0" containsBlank="1" containsNumber="1" containsInteger="1" minValue="13" maxValue="26"/>
    </cacheField>
    <cacheField name="NOME" numFmtId="0">
      <sharedItems containsBlank="1"/>
    </cacheField>
    <cacheField name="MÊS" numFmtId="0">
      <sharedItems containsString="0" containsBlank="1" containsNumber="1" containsInteger="1" minValue="8" maxValue="9" count="3">
        <n v="8"/>
        <m/>
        <n v="9" u="1"/>
      </sharedItems>
    </cacheField>
    <cacheField name="DIA" numFmtId="0">
      <sharedItems containsString="0" containsBlank="1" containsNumber="1" containsInteger="1" minValue="5" maxValue="25" count="11">
        <n v="5"/>
        <n v="21"/>
        <n v="6"/>
        <n v="7"/>
        <n v="8"/>
        <n v="9"/>
        <n v="13"/>
        <n v="14"/>
        <n v="17"/>
        <m/>
        <n v="25" u="1"/>
      </sharedItems>
    </cacheField>
    <cacheField name="TIPO" numFmtId="0">
      <sharedItems containsBlank="1" count="10">
        <s v="BENS"/>
        <s v="Outros"/>
        <s v="Alimentação"/>
        <s v="Dízimo"/>
        <s v="Cabelo"/>
        <s v="Lazer"/>
        <s v="Ração"/>
        <m/>
        <s v="Entradas" u="1"/>
        <s v="RACAO" u="1"/>
      </sharedItems>
    </cacheField>
    <cacheField name="VALOR" numFmtId="44">
      <sharedItems containsString="0" containsBlank="1" containsNumber="1" minValue="-129" maxValue="-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OnLoad="1" refreshedBy="JOAO" refreshedDate="44431.859143055553" createdVersion="6" refreshedVersion="6" minRefreshableVersion="3" recordCount="8">
  <cacheSource type="worksheet">
    <worksheetSource name="Tabela13"/>
  </cacheSource>
  <cacheFields count="2">
    <cacheField name="Tipo" numFmtId="0">
      <sharedItems count="8">
        <s v="Bens"/>
        <s v="Academia"/>
        <s v="Casa 100"/>
        <s v="Estudos"/>
        <s v="Planos de Medio"/>
        <s v="Racão"/>
        <s v="Aposentar"/>
        <s v="Cabelo"/>
      </sharedItems>
    </cacheField>
    <cacheField name="Valores Mês" numFmtId="44">
      <sharedItems containsSemiMixedTypes="0" containsString="0" containsNumber="1" containsInteger="1" minValue="0" maxValue="2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n v="0"/>
  </r>
  <r>
    <x v="1"/>
    <n v="0"/>
  </r>
  <r>
    <x v="2"/>
    <n v="100"/>
  </r>
  <r>
    <x v="3"/>
    <n v="2000"/>
  </r>
  <r>
    <x v="4"/>
    <n v="1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n v="2500"/>
  </r>
  <r>
    <x v="1"/>
    <n v="3876.14"/>
  </r>
  <r>
    <x v="2"/>
    <n v="2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6">
  <r>
    <n v="13"/>
    <s v="Guarda Chuvas"/>
    <x v="0"/>
    <x v="0"/>
    <x v="0"/>
    <n v="-25"/>
  </r>
  <r>
    <n v="14"/>
    <s v="x"/>
    <x v="0"/>
    <x v="1"/>
    <x v="1"/>
    <n v="-20"/>
  </r>
  <r>
    <n v="15"/>
    <s v="Alimentação que Dei a Pai"/>
    <x v="0"/>
    <x v="2"/>
    <x v="2"/>
    <n v="-100"/>
  </r>
  <r>
    <n v="16"/>
    <s v="Juntando da casa"/>
    <x v="0"/>
    <x v="2"/>
    <x v="1"/>
    <n v="-100"/>
  </r>
  <r>
    <n v="17"/>
    <s v="1 Dízimo (devolvido)"/>
    <x v="0"/>
    <x v="3"/>
    <x v="3"/>
    <n v="-66.5"/>
  </r>
  <r>
    <n v="18"/>
    <s v="1 Cabelo"/>
    <x v="0"/>
    <x v="3"/>
    <x v="4"/>
    <n v="-20"/>
  </r>
  <r>
    <n v="19"/>
    <s v="Frango"/>
    <x v="0"/>
    <x v="4"/>
    <x v="0"/>
    <n v="-30"/>
  </r>
  <r>
    <n v="20"/>
    <s v="Fone Xaomi AirDots2"/>
    <x v="0"/>
    <x v="4"/>
    <x v="1"/>
    <n v="-129"/>
  </r>
  <r>
    <n v="21"/>
    <s v="Livro Clean Code"/>
    <x v="0"/>
    <x v="4"/>
    <x v="1"/>
    <n v="-97"/>
  </r>
  <r>
    <n v="22"/>
    <s v="Doces "/>
    <x v="0"/>
    <x v="4"/>
    <x v="5"/>
    <n v="-8"/>
  </r>
  <r>
    <n v="23"/>
    <s v="Loratadina"/>
    <x v="0"/>
    <x v="5"/>
    <x v="0"/>
    <n v="-18"/>
  </r>
  <r>
    <n v="24"/>
    <s v="Kinder"/>
    <x v="0"/>
    <x v="6"/>
    <x v="5"/>
    <n v="-25"/>
  </r>
  <r>
    <n v="25"/>
    <s v="Troquei a ração estragada"/>
    <x v="0"/>
    <x v="7"/>
    <x v="6"/>
    <n v="-73"/>
  </r>
  <r>
    <n v="26"/>
    <s v="Escova"/>
    <x v="0"/>
    <x v="8"/>
    <x v="0"/>
    <n v="-12.99"/>
  </r>
  <r>
    <n v="14"/>
    <s v="Cabelo 2"/>
    <x v="0"/>
    <x v="1"/>
    <x v="4"/>
    <n v="-20"/>
  </r>
  <r>
    <m/>
    <m/>
    <x v="1"/>
    <x v="9"/>
    <x v="7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">
  <r>
    <x v="0"/>
    <n v="0"/>
  </r>
  <r>
    <x v="1"/>
    <n v="280"/>
  </r>
  <r>
    <x v="2"/>
    <n v="200"/>
  </r>
  <r>
    <x v="3"/>
    <n v="0"/>
  </r>
  <r>
    <x v="4"/>
    <n v="0"/>
  </r>
  <r>
    <x v="5"/>
    <n v="43"/>
  </r>
  <r>
    <x v="6"/>
    <n v="0"/>
  </r>
  <r>
    <x v="7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5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4">
  <location ref="J4:K10" firstHeaderRow="1" firstDataRow="1" firstDataCol="1"/>
  <pivotFields count="2">
    <pivotField axis="axisRow" showAll="0">
      <items count="6">
        <item x="1"/>
        <item x="4"/>
        <item x="2"/>
        <item x="0"/>
        <item x="3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Valores2" fld="1" baseField="0" baseItem="0" numFmtId="44"/>
  </dataFields>
  <formats count="1">
    <format dxfId="29">
      <pivotArea outline="0" collapsedLevelsAreSubtotals="1" fieldPosition="0"/>
    </format>
  </formats>
  <chartFormats count="6"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35" firstHeaderRow="1" firstDataRow="1" firstDataCol="1"/>
  <pivotFields count="6">
    <pivotField showAll="0"/>
    <pivotField showAll="0"/>
    <pivotField axis="axisRow" showAll="0">
      <items count="4">
        <item x="0"/>
        <item m="1" x="2"/>
        <item x="1"/>
        <item t="default"/>
      </items>
    </pivotField>
    <pivotField axis="axisRow" showAll="0">
      <items count="12">
        <item x="1"/>
        <item m="1" x="10"/>
        <item x="0"/>
        <item x="2"/>
        <item x="3"/>
        <item x="4"/>
        <item x="5"/>
        <item x="6"/>
        <item x="7"/>
        <item x="8"/>
        <item x="9"/>
        <item t="default"/>
      </items>
    </pivotField>
    <pivotField axis="axisRow" showAll="0">
      <items count="11">
        <item x="5"/>
        <item m="1" x="9"/>
        <item x="0"/>
        <item m="1" x="8"/>
        <item x="2"/>
        <item x="1"/>
        <item x="3"/>
        <item x="4"/>
        <item x="6"/>
        <item x="7"/>
        <item t="default"/>
      </items>
    </pivotField>
    <pivotField dataField="1" numFmtId="44" showAll="0"/>
  </pivotFields>
  <rowFields count="3">
    <field x="4"/>
    <field x="2"/>
    <field x="3"/>
  </rowFields>
  <rowItems count="32">
    <i>
      <x/>
    </i>
    <i r="1">
      <x/>
    </i>
    <i r="2">
      <x v="5"/>
    </i>
    <i r="2">
      <x v="7"/>
    </i>
    <i>
      <x v="2"/>
    </i>
    <i r="1">
      <x/>
    </i>
    <i r="2">
      <x v="2"/>
    </i>
    <i r="2">
      <x v="5"/>
    </i>
    <i r="2">
      <x v="6"/>
    </i>
    <i r="2">
      <x v="9"/>
    </i>
    <i>
      <x v="4"/>
    </i>
    <i r="1">
      <x/>
    </i>
    <i r="2">
      <x v="3"/>
    </i>
    <i>
      <x v="5"/>
    </i>
    <i r="1">
      <x/>
    </i>
    <i r="2">
      <x/>
    </i>
    <i r="2">
      <x v="3"/>
    </i>
    <i r="2">
      <x v="5"/>
    </i>
    <i>
      <x v="6"/>
    </i>
    <i r="1">
      <x/>
    </i>
    <i r="2">
      <x v="4"/>
    </i>
    <i>
      <x v="7"/>
    </i>
    <i r="1">
      <x/>
    </i>
    <i r="2">
      <x/>
    </i>
    <i r="2">
      <x v="4"/>
    </i>
    <i>
      <x v="8"/>
    </i>
    <i r="1">
      <x/>
    </i>
    <i r="2">
      <x v="8"/>
    </i>
    <i>
      <x v="9"/>
    </i>
    <i r="1">
      <x v="2"/>
    </i>
    <i r="2">
      <x v="10"/>
    </i>
    <i t="grand">
      <x/>
    </i>
  </rowItems>
  <colItems count="1">
    <i/>
  </colItems>
  <dataFields count="1">
    <dataField name="Soma de VALOR" fld="5" baseField="0" baseItem="0" numFmtId="44"/>
  </dataFields>
  <formats count="3">
    <format dxfId="32">
      <pivotArea outline="0" collapsedLevelsAreSubtotals="1" fieldPosition="0"/>
    </format>
    <format dxfId="31">
      <pivotArea dataOnly="0" labelOnly="1" outline="0" axis="axisValues" fieldPosition="0"/>
    </format>
    <format dxfId="3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10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7">
  <location ref="D5:E14" firstHeaderRow="1" firstDataRow="1" firstDataCol="1"/>
  <pivotFields count="2">
    <pivotField axis="axisRow" showAll="0">
      <items count="9">
        <item x="1"/>
        <item x="6"/>
        <item x="0"/>
        <item x="7"/>
        <item x="2"/>
        <item x="3"/>
        <item x="4"/>
        <item x="5"/>
        <item t="default"/>
      </items>
    </pivotField>
    <pivotField dataField="1" numFmtId="44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a de Valores Mês" fld="1" baseField="0" baseItem="0"/>
  </dataFields>
  <formats count="1">
    <format dxfId="33">
      <pivotArea outline="0" collapsedLevelsAreSubtotals="1" fieldPosition="0"/>
    </format>
  </formats>
  <chartFormats count="1">
    <chartFormat chart="8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3">
  <location ref="G5:H9" firstHeaderRow="1" firstDataRow="1" firstDataCol="1"/>
  <pivotFields count="2">
    <pivotField axis="axisRow" showAll="0">
      <items count="4">
        <item x="0"/>
        <item x="1"/>
        <item x="2"/>
        <item t="default"/>
      </items>
    </pivotField>
    <pivotField dataField="1" numFmtId="44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Totais" fld="1" baseField="0" baseItem="0" numFmtId="44"/>
  </dataFields>
  <formats count="1">
    <format dxfId="34">
      <pivotArea outline="0" collapsedLevelsAreSubtotals="1" fieldPosition="0"/>
    </format>
  </formats>
  <chartFormats count="1">
    <chartFormat chart="1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5" name="Tabela dinâmica6"/>
  </pivotTables>
  <data>
    <tabular pivotCacheId="2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Banco" sourceName="Banco">
  <pivotTables>
    <pivotTable tabId="5" name="Tabela dinâmica5"/>
  </pivotTables>
  <data>
    <tabular pivotCacheId="3">
      <items count="5">
        <i x="1" s="1"/>
        <i x="4" s="1"/>
        <i x="2" s="1"/>
        <i x="0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 1" cache="SegmentaçãodeDados_Mês" caption="Mês" columnCount="3" style="SlicerStyleLight1 2" rowHeight="241300"/>
  <slicer name="Banco" cache="SegmentaçãodeDados_Banco" caption="Banco" columnCount="3" style="SlicerStyleLight1 2" rowHeight="241300"/>
</slicers>
</file>

<file path=xl/tables/table1.xml><?xml version="1.0" encoding="utf-8"?>
<table xmlns="http://schemas.openxmlformats.org/spreadsheetml/2006/main" id="2" name="Tabela2" displayName="Tabela2" ref="A1:F17" totalsRowShown="0">
  <autoFilter ref="A1:F17"/>
  <tableColumns count="6">
    <tableColumn id="1" name="ID" dataDxfId="28"/>
    <tableColumn id="2" name="NOME" dataDxfId="27"/>
    <tableColumn id="3" name="MÊS" dataDxfId="26"/>
    <tableColumn id="4" name="DIA" dataDxfId="25"/>
    <tableColumn id="5" name="TIPO" dataDxfId="24"/>
    <tableColumn id="6" name="VALOR" dataCellStyle="Moeda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8" name="Tabela9" displayName="Tabela9" ref="P4:V5" totalsRowShown="0" headerRowDxfId="23" dataDxfId="21" headerRowBorderDxfId="22" tableBorderDxfId="20" totalsRowBorderDxfId="19" dataCellStyle="Moeda">
  <autoFilter ref="P4:V5"/>
  <tableColumns count="7">
    <tableColumn id="1" name="Mês" dataDxfId="18" dataCellStyle="Moeda"/>
    <tableColumn id="2" name="Bens" dataDxfId="17" dataCellStyle="Moeda">
      <calculatedColumnFormula>SUMIFS(Tabela2[[#All],[VALOR]],Tabela2[[#All],[MÊS]],$P$5,Tabela2[[#All],[TIPO]],Tabela9[[#Headers],[Bens]])</calculatedColumnFormula>
    </tableColumn>
    <tableColumn id="3" name="Lazer" dataDxfId="16" dataCellStyle="Moeda">
      <calculatedColumnFormula>SUMIFS(Tabela2[[#All],[VALOR]],Tabela2[[#All],[MÊS]],$P$5,Tabela2[[#All],[TIPO]],Tabela9[[#Headers],[Lazer]])</calculatedColumnFormula>
    </tableColumn>
    <tableColumn id="4" name="Alimentação" dataDxfId="15" dataCellStyle="Moeda">
      <calculatedColumnFormula>SUMIFS(Tabela2[[#All],[VALOR]],Tabela2[[#All],[MÊS]],$P$5,Tabela2[[#All],[TIPO]],Tabela9[[#Headers],[Alimentação]])</calculatedColumnFormula>
    </tableColumn>
    <tableColumn id="5" name="Cabelo" dataDxfId="14" dataCellStyle="Moeda">
      <calculatedColumnFormula>SUMIFS(Tabela2[[#All],[VALOR]],Tabela2[[#All],[MÊS]],$P$5,Tabela2[[#All],[TIPO]],Tabela9[[#Headers],[Cabelo]])</calculatedColumnFormula>
    </tableColumn>
    <tableColumn id="6" name="Dízimo" dataDxfId="13" dataCellStyle="Moeda">
      <calculatedColumnFormula>SUMIFS(Tabela2[[#All],[VALOR]],Tabela2[[#All],[MÊS]],$P$5,Tabela2[[#All],[TIPO]],Tabela9[[#Headers],[Dízimo]])</calculatedColumnFormula>
    </tableColumn>
    <tableColumn id="7" name="Entradas" dataDxfId="12" dataCellStyle="Moeda">
      <calculatedColumnFormula>SUMIFS(Tabela2[[#All],[VALOR]],Tabela2[[#All],[MÊS]],$P$5,Tabela2[[#All],[TIPO]],Tabela9[[#Headers],[Entradas]])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Tabela11" displayName="Tabela11" ref="J3:K6" totalsRowShown="0" headerRowBorderDxfId="11" tableBorderDxfId="10" totalsRowBorderDxfId="9">
  <autoFilter ref="J3:K6"/>
  <tableColumns count="2">
    <tableColumn id="1" name="Mês" dataDxfId="8"/>
    <tableColumn id="2" name="Totais" dataDxfId="7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3" name="Tabela13" displayName="Tabela13" ref="A2:B10" totalsRowShown="0" headerRowDxfId="6" headerRowBorderDxfId="5" tableBorderDxfId="4" totalsRowBorderDxfId="3">
  <autoFilter ref="A2:B10">
    <filterColumn colId="0" hiddenButton="1"/>
    <filterColumn colId="1" hiddenButton="1"/>
  </autoFilter>
  <tableColumns count="2">
    <tableColumn id="1" name="Tipo" dataDxfId="2"/>
    <tableColumn id="2" name="Valores Mês" dataDxfId="1" dataCellStyle="Moed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showGridLines="0" showRowColHeaders="0" tabSelected="1" zoomScale="75" zoomScaleNormal="75" workbookViewId="0"/>
  </sheetViews>
  <sheetFormatPr defaultRowHeight="15" x14ac:dyDescent="0.25"/>
  <cols>
    <col min="1" max="16384" width="9.140625" style="3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3:K42"/>
  <sheetViews>
    <sheetView workbookViewId="0">
      <selection activeCell="E14" sqref="E14"/>
    </sheetView>
  </sheetViews>
  <sheetFormatPr defaultRowHeight="15" x14ac:dyDescent="0.25"/>
  <cols>
    <col min="1" max="1" width="18" customWidth="1"/>
    <col min="2" max="2" width="16.5703125" style="2" customWidth="1"/>
    <col min="3" max="4" width="18" customWidth="1"/>
    <col min="5" max="5" width="20.28515625" customWidth="1"/>
    <col min="6" max="6" width="14.42578125" bestFit="1" customWidth="1"/>
    <col min="7" max="7" width="18" bestFit="1" customWidth="1"/>
    <col min="8" max="8" width="14.42578125" customWidth="1"/>
    <col min="9" max="9" width="16.85546875" customWidth="1"/>
    <col min="10" max="10" width="18" customWidth="1"/>
    <col min="11" max="11" width="16.85546875" customWidth="1"/>
    <col min="12" max="12" width="21" customWidth="1"/>
    <col min="13" max="13" width="22.7109375" customWidth="1"/>
    <col min="14" max="14" width="11.85546875" customWidth="1"/>
    <col min="15" max="15" width="10.7109375" customWidth="1"/>
  </cols>
  <sheetData>
    <row r="3" spans="1:11" x14ac:dyDescent="0.25">
      <c r="A3" s="16" t="s">
        <v>33</v>
      </c>
      <c r="B3" s="20" t="s">
        <v>35</v>
      </c>
    </row>
    <row r="4" spans="1:11" x14ac:dyDescent="0.25">
      <c r="A4" s="17" t="s">
        <v>19</v>
      </c>
      <c r="B4" s="20">
        <v>-33</v>
      </c>
      <c r="J4" s="16" t="s">
        <v>33</v>
      </c>
      <c r="K4" t="s">
        <v>40</v>
      </c>
    </row>
    <row r="5" spans="1:11" x14ac:dyDescent="0.25">
      <c r="A5" s="18">
        <v>8</v>
      </c>
      <c r="B5" s="20">
        <v>-33</v>
      </c>
      <c r="D5" s="16" t="s">
        <v>33</v>
      </c>
      <c r="E5" t="s">
        <v>69</v>
      </c>
      <c r="G5" s="16" t="s">
        <v>33</v>
      </c>
      <c r="H5" t="s">
        <v>43</v>
      </c>
      <c r="J5" s="17" t="s">
        <v>12</v>
      </c>
      <c r="K5" s="20">
        <v>0</v>
      </c>
    </row>
    <row r="6" spans="1:11" x14ac:dyDescent="0.25">
      <c r="A6" s="19">
        <v>8</v>
      </c>
      <c r="B6" s="20">
        <v>-8</v>
      </c>
      <c r="D6" s="17" t="s">
        <v>25</v>
      </c>
      <c r="E6" s="20">
        <v>280</v>
      </c>
      <c r="G6" s="17" t="s">
        <v>41</v>
      </c>
      <c r="H6" s="20">
        <v>2500</v>
      </c>
      <c r="J6" s="17" t="s">
        <v>13</v>
      </c>
      <c r="K6" s="20">
        <v>100</v>
      </c>
    </row>
    <row r="7" spans="1:11" x14ac:dyDescent="0.25">
      <c r="A7" s="19">
        <v>13</v>
      </c>
      <c r="B7" s="20">
        <v>-25</v>
      </c>
      <c r="D7" s="17" t="s">
        <v>27</v>
      </c>
      <c r="E7" s="20">
        <v>0</v>
      </c>
      <c r="G7" s="17" t="s">
        <v>15</v>
      </c>
      <c r="H7" s="20">
        <v>3876.14</v>
      </c>
      <c r="J7" s="17" t="s">
        <v>11</v>
      </c>
      <c r="K7" s="20">
        <v>100</v>
      </c>
    </row>
    <row r="8" spans="1:11" x14ac:dyDescent="0.25">
      <c r="A8" s="17" t="s">
        <v>6</v>
      </c>
      <c r="B8" s="20">
        <v>-85.99</v>
      </c>
      <c r="D8" s="17" t="s">
        <v>18</v>
      </c>
      <c r="E8" s="20">
        <v>0</v>
      </c>
      <c r="G8" s="17" t="s">
        <v>16</v>
      </c>
      <c r="H8" s="20">
        <v>200</v>
      </c>
      <c r="J8" s="17" t="s">
        <v>37</v>
      </c>
      <c r="K8" s="20">
        <v>0</v>
      </c>
    </row>
    <row r="9" spans="1:11" x14ac:dyDescent="0.25">
      <c r="A9" s="18">
        <v>8</v>
      </c>
      <c r="B9" s="20">
        <v>-85.99</v>
      </c>
      <c r="D9" s="17" t="s">
        <v>21</v>
      </c>
      <c r="E9" s="20">
        <v>3</v>
      </c>
      <c r="G9" s="17" t="s">
        <v>34</v>
      </c>
      <c r="H9" s="20">
        <v>6576.1399999999994</v>
      </c>
      <c r="J9" s="17" t="s">
        <v>39</v>
      </c>
      <c r="K9" s="20">
        <v>2000</v>
      </c>
    </row>
    <row r="10" spans="1:11" x14ac:dyDescent="0.25">
      <c r="A10" s="19">
        <v>5</v>
      </c>
      <c r="B10" s="20">
        <v>-25</v>
      </c>
      <c r="D10" s="17" t="s">
        <v>60</v>
      </c>
      <c r="E10" s="20">
        <v>200</v>
      </c>
      <c r="J10" s="17" t="s">
        <v>34</v>
      </c>
      <c r="K10" s="20">
        <v>2200</v>
      </c>
    </row>
    <row r="11" spans="1:11" x14ac:dyDescent="0.25">
      <c r="A11" s="19">
        <v>8</v>
      </c>
      <c r="B11" s="20">
        <v>-30</v>
      </c>
      <c r="D11" s="17" t="s">
        <v>28</v>
      </c>
      <c r="E11" s="20">
        <v>0</v>
      </c>
    </row>
    <row r="12" spans="1:11" x14ac:dyDescent="0.25">
      <c r="A12" s="19">
        <v>9</v>
      </c>
      <c r="B12" s="20">
        <v>-18</v>
      </c>
      <c r="D12" s="17" t="s">
        <v>61</v>
      </c>
      <c r="E12" s="20">
        <v>0</v>
      </c>
    </row>
    <row r="13" spans="1:11" x14ac:dyDescent="0.25">
      <c r="A13" s="19">
        <v>17</v>
      </c>
      <c r="B13" s="20">
        <v>-12.99</v>
      </c>
      <c r="D13" s="17" t="s">
        <v>62</v>
      </c>
      <c r="E13" s="20">
        <v>43</v>
      </c>
    </row>
    <row r="14" spans="1:11" x14ac:dyDescent="0.25">
      <c r="A14" s="17" t="s">
        <v>20</v>
      </c>
      <c r="B14" s="20">
        <v>-100</v>
      </c>
      <c r="D14" s="17" t="s">
        <v>34</v>
      </c>
      <c r="E14" s="20">
        <v>526</v>
      </c>
    </row>
    <row r="15" spans="1:11" x14ac:dyDescent="0.25">
      <c r="A15" s="18">
        <v>8</v>
      </c>
      <c r="B15" s="20">
        <v>-100</v>
      </c>
    </row>
    <row r="16" spans="1:11" x14ac:dyDescent="0.25">
      <c r="A16" s="19">
        <v>6</v>
      </c>
      <c r="B16" s="20">
        <v>-100</v>
      </c>
    </row>
    <row r="17" spans="1:2" x14ac:dyDescent="0.25">
      <c r="A17" s="17" t="s">
        <v>44</v>
      </c>
      <c r="B17" s="20">
        <v>-346</v>
      </c>
    </row>
    <row r="18" spans="1:2" x14ac:dyDescent="0.25">
      <c r="A18" s="18">
        <v>8</v>
      </c>
      <c r="B18" s="20">
        <v>-346</v>
      </c>
    </row>
    <row r="19" spans="1:2" x14ac:dyDescent="0.25">
      <c r="A19" s="19">
        <v>21</v>
      </c>
      <c r="B19" s="20">
        <v>-20</v>
      </c>
    </row>
    <row r="20" spans="1:2" x14ac:dyDescent="0.25">
      <c r="A20" s="19">
        <v>6</v>
      </c>
      <c r="B20" s="20">
        <v>-100</v>
      </c>
    </row>
    <row r="21" spans="1:2" x14ac:dyDescent="0.25">
      <c r="A21" s="19">
        <v>8</v>
      </c>
      <c r="B21" s="20">
        <v>-226</v>
      </c>
    </row>
    <row r="22" spans="1:2" x14ac:dyDescent="0.25">
      <c r="A22" s="17" t="s">
        <v>22</v>
      </c>
      <c r="B22" s="20">
        <v>-66.5</v>
      </c>
    </row>
    <row r="23" spans="1:2" x14ac:dyDescent="0.25">
      <c r="A23" s="18">
        <v>8</v>
      </c>
      <c r="B23" s="20">
        <v>-66.5</v>
      </c>
    </row>
    <row r="24" spans="1:2" x14ac:dyDescent="0.25">
      <c r="A24" s="19">
        <v>7</v>
      </c>
      <c r="B24" s="20">
        <v>-66.5</v>
      </c>
    </row>
    <row r="25" spans="1:2" x14ac:dyDescent="0.25">
      <c r="A25" s="17" t="s">
        <v>21</v>
      </c>
      <c r="B25" s="20">
        <v>-40</v>
      </c>
    </row>
    <row r="26" spans="1:2" x14ac:dyDescent="0.25">
      <c r="A26" s="18">
        <v>8</v>
      </c>
      <c r="B26" s="20">
        <v>-40</v>
      </c>
    </row>
    <row r="27" spans="1:2" x14ac:dyDescent="0.25">
      <c r="A27" s="19">
        <v>21</v>
      </c>
      <c r="B27" s="20">
        <v>-20</v>
      </c>
    </row>
    <row r="28" spans="1:2" x14ac:dyDescent="0.25">
      <c r="A28" s="19">
        <v>7</v>
      </c>
      <c r="B28" s="20">
        <v>-20</v>
      </c>
    </row>
    <row r="29" spans="1:2" x14ac:dyDescent="0.25">
      <c r="A29" s="17" t="s">
        <v>24</v>
      </c>
      <c r="B29" s="20">
        <v>-73</v>
      </c>
    </row>
    <row r="30" spans="1:2" x14ac:dyDescent="0.25">
      <c r="A30" s="18">
        <v>8</v>
      </c>
      <c r="B30" s="20">
        <v>-73</v>
      </c>
    </row>
    <row r="31" spans="1:2" x14ac:dyDescent="0.25">
      <c r="A31" s="19">
        <v>14</v>
      </c>
      <c r="B31" s="20">
        <v>-73</v>
      </c>
    </row>
    <row r="32" spans="1:2" x14ac:dyDescent="0.25">
      <c r="A32" s="17" t="s">
        <v>72</v>
      </c>
      <c r="B32" s="20"/>
    </row>
    <row r="33" spans="1:2" x14ac:dyDescent="0.25">
      <c r="A33" s="18" t="s">
        <v>72</v>
      </c>
      <c r="B33" s="20"/>
    </row>
    <row r="34" spans="1:2" x14ac:dyDescent="0.25">
      <c r="A34" s="19" t="s">
        <v>72</v>
      </c>
      <c r="B34" s="20"/>
    </row>
    <row r="35" spans="1:2" x14ac:dyDescent="0.25">
      <c r="A35" s="17" t="s">
        <v>34</v>
      </c>
      <c r="B35" s="20">
        <v>-744.49</v>
      </c>
    </row>
    <row r="36" spans="1:2" x14ac:dyDescent="0.25">
      <c r="B36"/>
    </row>
    <row r="37" spans="1:2" x14ac:dyDescent="0.25">
      <c r="B37"/>
    </row>
    <row r="38" spans="1:2" x14ac:dyDescent="0.25">
      <c r="B38"/>
    </row>
    <row r="39" spans="1:2" x14ac:dyDescent="0.25">
      <c r="B39"/>
    </row>
    <row r="40" spans="1:2" x14ac:dyDescent="0.25">
      <c r="B40"/>
    </row>
    <row r="41" spans="1:2" x14ac:dyDescent="0.25">
      <c r="B41"/>
    </row>
    <row r="42" spans="1:2" x14ac:dyDescent="0.25">
      <c r="B4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V16"/>
  <sheetViews>
    <sheetView showGridLines="0" showRowColHeaders="0" zoomScale="77" zoomScaleNormal="77" workbookViewId="0"/>
  </sheetViews>
  <sheetFormatPr defaultRowHeight="15" x14ac:dyDescent="0.25"/>
  <cols>
    <col min="1" max="1" width="9.140625" style="4"/>
    <col min="2" max="2" width="22" style="4" customWidth="1"/>
    <col min="3" max="4" width="9.140625" style="4"/>
    <col min="5" max="5" width="12.140625" style="4" bestFit="1" customWidth="1"/>
    <col min="6" max="6" width="12.140625" style="2" bestFit="1" customWidth="1"/>
    <col min="11" max="11" width="15.85546875" style="2" customWidth="1"/>
    <col min="12" max="12" width="12.42578125" bestFit="1" customWidth="1"/>
    <col min="13" max="13" width="13.5703125" bestFit="1" customWidth="1"/>
    <col min="14" max="14" width="23.140625" bestFit="1" customWidth="1"/>
    <col min="17" max="18" width="12.42578125" customWidth="1"/>
    <col min="19" max="19" width="17.28515625" customWidth="1"/>
    <col min="20" max="20" width="12.140625" customWidth="1"/>
    <col min="21" max="21" width="15.7109375" customWidth="1"/>
    <col min="22" max="22" width="14.140625" customWidth="1"/>
  </cols>
  <sheetData>
    <row r="1" spans="1:22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2" t="s">
        <v>5</v>
      </c>
      <c r="I1" s="1">
        <v>15</v>
      </c>
      <c r="M1" s="4"/>
    </row>
    <row r="2" spans="1:22" x14ac:dyDescent="0.25">
      <c r="A2" s="4">
        <v>13</v>
      </c>
      <c r="B2" s="4" t="s">
        <v>57</v>
      </c>
      <c r="C2" s="4">
        <v>8</v>
      </c>
      <c r="D2" s="4">
        <v>5</v>
      </c>
      <c r="E2" s="4" t="s">
        <v>6</v>
      </c>
      <c r="F2" s="2">
        <v>-25</v>
      </c>
      <c r="J2" s="39" t="s">
        <v>7</v>
      </c>
      <c r="K2" s="40"/>
      <c r="L2" s="21"/>
      <c r="M2" s="23" t="s">
        <v>38</v>
      </c>
      <c r="N2" s="24" t="s">
        <v>36</v>
      </c>
    </row>
    <row r="3" spans="1:22" x14ac:dyDescent="0.25">
      <c r="A3" s="4">
        <v>14</v>
      </c>
      <c r="B3" s="4" t="s">
        <v>73</v>
      </c>
      <c r="C3" s="4">
        <v>8</v>
      </c>
      <c r="D3" s="4">
        <v>21</v>
      </c>
      <c r="E3" s="4" t="s">
        <v>44</v>
      </c>
      <c r="F3" s="2">
        <v>-20</v>
      </c>
      <c r="J3" s="30" t="s">
        <v>8</v>
      </c>
      <c r="K3" s="31" t="s">
        <v>42</v>
      </c>
      <c r="L3" s="4"/>
      <c r="M3" s="23" t="s">
        <v>37</v>
      </c>
      <c r="N3" s="27">
        <v>0</v>
      </c>
      <c r="P3" s="37" t="s">
        <v>17</v>
      </c>
      <c r="Q3" s="38"/>
      <c r="R3" s="38"/>
      <c r="S3" s="38"/>
      <c r="T3" s="38"/>
      <c r="U3" s="38"/>
      <c r="V3" s="38"/>
    </row>
    <row r="4" spans="1:22" x14ac:dyDescent="0.25">
      <c r="A4" s="4">
        <v>15</v>
      </c>
      <c r="B4" s="4" t="s">
        <v>46</v>
      </c>
      <c r="C4" s="4">
        <v>8</v>
      </c>
      <c r="D4" s="4">
        <v>6</v>
      </c>
      <c r="E4" s="4" t="s">
        <v>20</v>
      </c>
      <c r="F4" s="2">
        <v>-100</v>
      </c>
      <c r="J4" s="28" t="s">
        <v>41</v>
      </c>
      <c r="K4" s="29">
        <v>2500</v>
      </c>
      <c r="L4" s="2"/>
      <c r="M4" s="23" t="s">
        <v>12</v>
      </c>
      <c r="N4" s="27">
        <v>0</v>
      </c>
      <c r="P4" s="6" t="s">
        <v>8</v>
      </c>
      <c r="Q4" s="7" t="s">
        <v>18</v>
      </c>
      <c r="R4" s="7" t="s">
        <v>19</v>
      </c>
      <c r="S4" s="7" t="s">
        <v>20</v>
      </c>
      <c r="T4" s="7" t="s">
        <v>21</v>
      </c>
      <c r="U4" s="8" t="s">
        <v>22</v>
      </c>
      <c r="V4" s="7" t="s">
        <v>23</v>
      </c>
    </row>
    <row r="5" spans="1:22" x14ac:dyDescent="0.25">
      <c r="A5" s="4">
        <v>16</v>
      </c>
      <c r="B5" s="4" t="s">
        <v>45</v>
      </c>
      <c r="C5" s="4">
        <v>8</v>
      </c>
      <c r="D5" s="4">
        <v>6</v>
      </c>
      <c r="E5" s="4" t="s">
        <v>44</v>
      </c>
      <c r="F5" s="2">
        <v>-100</v>
      </c>
      <c r="J5" s="28" t="s">
        <v>15</v>
      </c>
      <c r="K5" s="29">
        <v>3876.14</v>
      </c>
      <c r="L5" s="2"/>
      <c r="M5" s="25" t="s">
        <v>11</v>
      </c>
      <c r="N5" s="27">
        <v>100</v>
      </c>
      <c r="P5" s="9">
        <v>8</v>
      </c>
      <c r="Q5" s="5">
        <f>SUMIFS(Tabela2[[#All],[VALOR]],Tabela2[[#All],[MÊS]],$P$5,Tabela2[[#All],[TIPO]],Tabela9[[#Headers],[Bens]])</f>
        <v>-85.99</v>
      </c>
      <c r="R5" s="5">
        <f>SUMIFS(Tabela2[[#All],[VALOR]],Tabela2[[#All],[MÊS]],$P$5,Tabela2[[#All],[TIPO]],Tabela9[[#Headers],[Lazer]])</f>
        <v>-33</v>
      </c>
      <c r="S5" s="5">
        <f>SUMIFS(Tabela2[[#All],[VALOR]],Tabela2[[#All],[MÊS]],$P$5,Tabela2[[#All],[TIPO]],Tabela9[[#Headers],[Alimentação]])</f>
        <v>-100</v>
      </c>
      <c r="T5" s="5">
        <f>SUMIFS(Tabela2[[#All],[VALOR]],Tabela2[[#All],[MÊS]],$P$5,Tabela2[[#All],[TIPO]],Tabela9[[#Headers],[Cabelo]])</f>
        <v>-40</v>
      </c>
      <c r="U5" s="5">
        <f>SUMIFS(Tabela2[[#All],[VALOR]],Tabela2[[#All],[MÊS]],$P$5,Tabela2[[#All],[TIPO]],Tabela9[[#Headers],[Dízimo]])</f>
        <v>-66.5</v>
      </c>
      <c r="V5" s="5">
        <f>SUMIFS(Tabela2[[#All],[VALOR]],Tabela2[[#All],[MÊS]],$P$5,Tabela2[[#All],[TIPO]],Tabela9[[#Headers],[Entradas]])</f>
        <v>0</v>
      </c>
    </row>
    <row r="6" spans="1:22" x14ac:dyDescent="0.25">
      <c r="A6" s="4">
        <v>17</v>
      </c>
      <c r="B6" s="4" t="s">
        <v>47</v>
      </c>
      <c r="C6" s="4">
        <v>8</v>
      </c>
      <c r="D6" s="4">
        <v>7</v>
      </c>
      <c r="E6" s="4" t="s">
        <v>22</v>
      </c>
      <c r="F6" s="2">
        <v>-66.5</v>
      </c>
      <c r="J6" s="32" t="s">
        <v>16</v>
      </c>
      <c r="K6" s="33">
        <v>200</v>
      </c>
      <c r="M6" s="26" t="s">
        <v>39</v>
      </c>
      <c r="N6" s="36">
        <v>2000</v>
      </c>
    </row>
    <row r="7" spans="1:22" x14ac:dyDescent="0.25">
      <c r="A7" s="4">
        <v>18</v>
      </c>
      <c r="B7" s="4" t="s">
        <v>48</v>
      </c>
      <c r="C7" s="4">
        <v>8</v>
      </c>
      <c r="D7" s="4">
        <v>7</v>
      </c>
      <c r="E7" s="4" t="s">
        <v>21</v>
      </c>
      <c r="F7" s="2">
        <v>-20</v>
      </c>
      <c r="M7" s="26" t="s">
        <v>13</v>
      </c>
      <c r="N7" s="36">
        <v>100</v>
      </c>
    </row>
    <row r="8" spans="1:22" x14ac:dyDescent="0.25">
      <c r="A8" s="4">
        <v>19</v>
      </c>
      <c r="B8" s="4" t="s">
        <v>49</v>
      </c>
      <c r="C8" s="4">
        <v>8</v>
      </c>
      <c r="D8" s="4">
        <v>8</v>
      </c>
      <c r="E8" s="4" t="s">
        <v>18</v>
      </c>
      <c r="F8" s="2">
        <v>-30</v>
      </c>
    </row>
    <row r="9" spans="1:22" x14ac:dyDescent="0.25">
      <c r="A9" s="4">
        <v>20</v>
      </c>
      <c r="B9" s="4" t="s">
        <v>50</v>
      </c>
      <c r="C9" s="4">
        <v>8</v>
      </c>
      <c r="D9" s="4">
        <v>8</v>
      </c>
      <c r="E9" s="4" t="s">
        <v>44</v>
      </c>
      <c r="F9" s="2">
        <v>-129</v>
      </c>
    </row>
    <row r="10" spans="1:22" x14ac:dyDescent="0.25">
      <c r="A10" s="4">
        <v>21</v>
      </c>
      <c r="B10" s="4" t="s">
        <v>51</v>
      </c>
      <c r="C10" s="4">
        <v>8</v>
      </c>
      <c r="D10" s="4">
        <v>8</v>
      </c>
      <c r="E10" s="4" t="s">
        <v>44</v>
      </c>
      <c r="F10" s="2">
        <v>-97</v>
      </c>
      <c r="M10" s="24" t="s">
        <v>64</v>
      </c>
      <c r="N10" s="24" t="s">
        <v>65</v>
      </c>
    </row>
    <row r="11" spans="1:22" x14ac:dyDescent="0.25">
      <c r="A11" s="4">
        <v>22</v>
      </c>
      <c r="B11" s="4" t="s">
        <v>52</v>
      </c>
      <c r="C11" s="4">
        <v>8</v>
      </c>
      <c r="D11" s="4">
        <v>8</v>
      </c>
      <c r="E11" s="4" t="s">
        <v>19</v>
      </c>
      <c r="F11" s="2">
        <v>-8</v>
      </c>
      <c r="M11" s="24" t="s">
        <v>9</v>
      </c>
      <c r="N11" s="24" t="s">
        <v>66</v>
      </c>
    </row>
    <row r="12" spans="1:22" x14ac:dyDescent="0.25">
      <c r="A12" s="4">
        <v>23</v>
      </c>
      <c r="B12" s="4" t="s">
        <v>53</v>
      </c>
      <c r="C12" s="4">
        <v>8</v>
      </c>
      <c r="D12" s="4">
        <v>9</v>
      </c>
      <c r="E12" s="4" t="s">
        <v>18</v>
      </c>
      <c r="F12" s="2">
        <v>-18</v>
      </c>
      <c r="M12" s="24" t="s">
        <v>12</v>
      </c>
      <c r="N12" s="24"/>
    </row>
    <row r="13" spans="1:22" x14ac:dyDescent="0.25">
      <c r="A13" s="4">
        <v>24</v>
      </c>
      <c r="B13" s="4" t="s">
        <v>54</v>
      </c>
      <c r="C13" s="4">
        <v>8</v>
      </c>
      <c r="D13" s="4">
        <v>13</v>
      </c>
      <c r="E13" s="4" t="s">
        <v>19</v>
      </c>
      <c r="F13" s="2">
        <v>-25</v>
      </c>
      <c r="M13" s="24" t="s">
        <v>11</v>
      </c>
      <c r="N13" s="24" t="s">
        <v>67</v>
      </c>
    </row>
    <row r="14" spans="1:22" x14ac:dyDescent="0.25">
      <c r="A14" s="4">
        <v>25</v>
      </c>
      <c r="B14" s="4" t="s">
        <v>55</v>
      </c>
      <c r="C14" s="4">
        <v>8</v>
      </c>
      <c r="D14" s="4">
        <v>14</v>
      </c>
      <c r="E14" s="4" t="s">
        <v>24</v>
      </c>
      <c r="F14" s="2">
        <v>-73</v>
      </c>
      <c r="M14" s="24" t="s">
        <v>10</v>
      </c>
      <c r="N14" s="24" t="s">
        <v>68</v>
      </c>
    </row>
    <row r="15" spans="1:22" x14ac:dyDescent="0.25">
      <c r="A15" s="4">
        <v>26</v>
      </c>
      <c r="B15" s="4" t="s">
        <v>56</v>
      </c>
      <c r="C15" s="4">
        <v>8</v>
      </c>
      <c r="D15" s="4">
        <v>17</v>
      </c>
      <c r="E15" s="4" t="s">
        <v>18</v>
      </c>
      <c r="F15" s="2">
        <v>-12.99</v>
      </c>
    </row>
    <row r="16" spans="1:22" x14ac:dyDescent="0.25">
      <c r="A16" s="4">
        <v>14</v>
      </c>
      <c r="B16" s="4" t="s">
        <v>70</v>
      </c>
      <c r="C16" s="4">
        <v>8</v>
      </c>
      <c r="D16" s="4">
        <v>21</v>
      </c>
      <c r="E16" s="4" t="s">
        <v>71</v>
      </c>
      <c r="F16" s="2">
        <v>-20</v>
      </c>
    </row>
  </sheetData>
  <mergeCells count="2">
    <mergeCell ref="P3:V3"/>
    <mergeCell ref="J2:K2"/>
  </mergeCells>
  <pageMargins left="0.511811024" right="0.511811024" top="0.78740157499999996" bottom="0.78740157499999996" header="0.31496062000000002" footer="0.31496062000000002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D30"/>
  <sheetViews>
    <sheetView zoomScale="77" zoomScaleNormal="77" workbookViewId="0">
      <selection activeCell="C14" sqref="C14:D30"/>
    </sheetView>
  </sheetViews>
  <sheetFormatPr defaultRowHeight="15" x14ac:dyDescent="0.25"/>
  <cols>
    <col min="1" max="1" width="16" bestFit="1" customWidth="1"/>
    <col min="2" max="2" width="19.140625" customWidth="1"/>
    <col min="3" max="3" width="14.5703125" bestFit="1" customWidth="1"/>
    <col min="4" max="4" width="13.5703125" bestFit="1" customWidth="1"/>
    <col min="5" max="5" width="18" bestFit="1" customWidth="1"/>
    <col min="6" max="6" width="15.42578125" bestFit="1" customWidth="1"/>
    <col min="7" max="7" width="19.7109375" bestFit="1" customWidth="1"/>
    <col min="8" max="8" width="20.42578125" bestFit="1" customWidth="1"/>
    <col min="9" max="9" width="17" bestFit="1" customWidth="1"/>
    <col min="10" max="10" width="19.140625" bestFit="1" customWidth="1"/>
    <col min="13" max="13" width="23.28515625" bestFit="1" customWidth="1"/>
    <col min="14" max="14" width="5.7109375" bestFit="1" customWidth="1"/>
  </cols>
  <sheetData>
    <row r="1" spans="1:4" x14ac:dyDescent="0.25">
      <c r="A1" s="41" t="s">
        <v>58</v>
      </c>
      <c r="B1" s="41"/>
    </row>
    <row r="2" spans="1:4" x14ac:dyDescent="0.25">
      <c r="A2" s="34" t="s">
        <v>59</v>
      </c>
      <c r="B2" s="31" t="s">
        <v>63</v>
      </c>
    </row>
    <row r="3" spans="1:4" x14ac:dyDescent="0.25">
      <c r="A3" s="35" t="s">
        <v>18</v>
      </c>
      <c r="B3" s="29">
        <v>0</v>
      </c>
    </row>
    <row r="4" spans="1:4" x14ac:dyDescent="0.25">
      <c r="A4" s="35" t="s">
        <v>25</v>
      </c>
      <c r="B4" s="29">
        <v>280</v>
      </c>
    </row>
    <row r="5" spans="1:4" x14ac:dyDescent="0.25">
      <c r="A5" s="35" t="s">
        <v>60</v>
      </c>
      <c r="B5" s="29">
        <v>200</v>
      </c>
    </row>
    <row r="6" spans="1:4" x14ac:dyDescent="0.25">
      <c r="A6" s="35" t="s">
        <v>28</v>
      </c>
      <c r="B6" s="29">
        <v>0</v>
      </c>
    </row>
    <row r="7" spans="1:4" x14ac:dyDescent="0.25">
      <c r="A7" s="35" t="s">
        <v>61</v>
      </c>
      <c r="B7" s="29">
        <v>0</v>
      </c>
    </row>
    <row r="8" spans="1:4" x14ac:dyDescent="0.25">
      <c r="A8" s="35" t="s">
        <v>62</v>
      </c>
      <c r="B8" s="29">
        <v>43</v>
      </c>
    </row>
    <row r="9" spans="1:4" x14ac:dyDescent="0.25">
      <c r="A9" s="35" t="s">
        <v>27</v>
      </c>
      <c r="B9" s="29">
        <v>0</v>
      </c>
    </row>
    <row r="10" spans="1:4" x14ac:dyDescent="0.25">
      <c r="A10" s="22" t="s">
        <v>21</v>
      </c>
      <c r="B10" s="33">
        <v>3</v>
      </c>
    </row>
    <row r="13" spans="1:4" ht="15.75" thickBot="1" x14ac:dyDescent="0.3"/>
    <row r="14" spans="1:4" ht="18.75" x14ac:dyDescent="0.3">
      <c r="C14" s="10" t="s">
        <v>30</v>
      </c>
      <c r="D14" s="13"/>
    </row>
    <row r="15" spans="1:4" ht="18.75" x14ac:dyDescent="0.3">
      <c r="C15" s="11" t="s">
        <v>18</v>
      </c>
      <c r="D15" s="14">
        <v>100</v>
      </c>
    </row>
    <row r="16" spans="1:4" ht="18.75" x14ac:dyDescent="0.3">
      <c r="C16" s="11" t="s">
        <v>19</v>
      </c>
      <c r="D16" s="14">
        <v>60</v>
      </c>
    </row>
    <row r="17" spans="3:4" ht="18.75" x14ac:dyDescent="0.3">
      <c r="C17" s="11" t="s">
        <v>21</v>
      </c>
      <c r="D17" s="14">
        <v>40</v>
      </c>
    </row>
    <row r="18" spans="3:4" ht="18.75" x14ac:dyDescent="0.3">
      <c r="C18" s="11" t="s">
        <v>22</v>
      </c>
      <c r="D18" s="14">
        <v>75</v>
      </c>
    </row>
    <row r="19" spans="3:4" ht="18.75" x14ac:dyDescent="0.3">
      <c r="C19" s="11" t="s">
        <v>24</v>
      </c>
      <c r="D19" s="14">
        <v>30</v>
      </c>
    </row>
    <row r="20" spans="3:4" ht="18.75" x14ac:dyDescent="0.3">
      <c r="C20" s="11" t="s">
        <v>25</v>
      </c>
      <c r="D20" s="14">
        <v>70</v>
      </c>
    </row>
    <row r="21" spans="3:4" ht="18.75" x14ac:dyDescent="0.3">
      <c r="C21" s="11" t="s">
        <v>14</v>
      </c>
      <c r="D21" s="14">
        <v>375</v>
      </c>
    </row>
    <row r="22" spans="3:4" ht="18.75" x14ac:dyDescent="0.3">
      <c r="C22" s="11"/>
      <c r="D22" s="14"/>
    </row>
    <row r="23" spans="3:4" ht="18.75" x14ac:dyDescent="0.3">
      <c r="C23" s="11" t="s">
        <v>31</v>
      </c>
      <c r="D23" s="14">
        <v>750</v>
      </c>
    </row>
    <row r="24" spans="3:4" ht="18.75" x14ac:dyDescent="0.3">
      <c r="C24" s="11" t="s">
        <v>32</v>
      </c>
      <c r="D24" s="14">
        <v>375</v>
      </c>
    </row>
    <row r="25" spans="3:4" ht="18.75" x14ac:dyDescent="0.3">
      <c r="C25" s="11" t="s">
        <v>26</v>
      </c>
      <c r="D25" s="14">
        <v>100</v>
      </c>
    </row>
    <row r="26" spans="3:4" ht="18.75" x14ac:dyDescent="0.3">
      <c r="C26" s="11" t="s">
        <v>27</v>
      </c>
      <c r="D26" s="14">
        <v>40</v>
      </c>
    </row>
    <row r="27" spans="3:4" ht="18.75" x14ac:dyDescent="0.3">
      <c r="C27" s="11" t="s">
        <v>28</v>
      </c>
      <c r="D27" s="14">
        <v>35</v>
      </c>
    </row>
    <row r="28" spans="3:4" ht="18.75" x14ac:dyDescent="0.3">
      <c r="C28" s="11" t="s">
        <v>29</v>
      </c>
      <c r="D28" s="14">
        <v>200</v>
      </c>
    </row>
    <row r="29" spans="3:4" ht="18.75" x14ac:dyDescent="0.3">
      <c r="C29" s="11"/>
      <c r="D29" s="14"/>
    </row>
    <row r="30" spans="3:4" ht="19.5" thickBot="1" x14ac:dyDescent="0.35">
      <c r="C30" s="12" t="s">
        <v>32</v>
      </c>
      <c r="D30" s="15">
        <v>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Planilha4</vt:lpstr>
      <vt:lpstr>base</vt:lpstr>
      <vt:lpstr>acumulado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</dc:creator>
  <cp:lastModifiedBy>JOAO</cp:lastModifiedBy>
  <dcterms:created xsi:type="dcterms:W3CDTF">2021-08-19T22:22:45Z</dcterms:created>
  <dcterms:modified xsi:type="dcterms:W3CDTF">2021-08-23T23:52:19Z</dcterms:modified>
</cp:coreProperties>
</file>