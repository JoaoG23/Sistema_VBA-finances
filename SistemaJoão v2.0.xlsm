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github\Meu-Sistema-VBA\"/>
    </mc:Choice>
  </mc:AlternateContent>
  <bookViews>
    <workbookView xWindow="0" yWindow="0" windowWidth="20490" windowHeight="7650" activeTab="1"/>
  </bookViews>
  <sheets>
    <sheet name="lembretes" sheetId="9" r:id="rId1"/>
    <sheet name="dashBoard" sheetId="2" r:id="rId2"/>
    <sheet name="bancoeValoresParaGasto" sheetId="7" r:id="rId3"/>
    <sheet name="fluxodeReservas" sheetId="8" r:id="rId4"/>
    <sheet name="base" sheetId="1" r:id="rId5"/>
  </sheets>
  <definedNames>
    <definedName name="ID">base!$I$1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5" i="1" l="1"/>
  <c r="H3" i="1"/>
  <c r="H4" i="1" s="1"/>
  <c r="H5" i="1" s="1"/>
  <c r="H6" i="1" s="1"/>
  <c r="H7" i="1" s="1"/>
  <c r="H8" i="1" s="1"/>
  <c r="H9" i="1" s="1"/>
  <c r="H10" i="1" s="1"/>
  <c r="O5" i="1"/>
  <c r="E6" i="8"/>
  <c r="T6" i="8"/>
  <c r="O6" i="8"/>
  <c r="J6" i="8"/>
  <c r="N5" i="1"/>
  <c r="M5" i="1"/>
  <c r="P5" i="1"/>
  <c r="Q5" i="1"/>
  <c r="R5" i="1"/>
  <c r="T5" i="1"/>
  <c r="U5" i="1"/>
  <c r="V5" i="1" l="1"/>
</calcChain>
</file>

<file path=xl/sharedStrings.xml><?xml version="1.0" encoding="utf-8"?>
<sst xmlns="http://schemas.openxmlformats.org/spreadsheetml/2006/main" count="101" uniqueCount="55">
  <si>
    <t>ID</t>
  </si>
  <si>
    <t>BENS</t>
  </si>
  <si>
    <t>Mês</t>
  </si>
  <si>
    <t>Nubank</t>
  </si>
  <si>
    <t>Next</t>
  </si>
  <si>
    <t>Bradesco</t>
  </si>
  <si>
    <t>Despesas</t>
  </si>
  <si>
    <t>Bens</t>
  </si>
  <si>
    <t>Lazer</t>
  </si>
  <si>
    <t>Alimentação</t>
  </si>
  <si>
    <t>Cabelo</t>
  </si>
  <si>
    <t>Entradas</t>
  </si>
  <si>
    <t>Academia</t>
  </si>
  <si>
    <t>Salario</t>
  </si>
  <si>
    <t>Outros</t>
  </si>
  <si>
    <t>Tipo</t>
  </si>
  <si>
    <t>Racão</t>
  </si>
  <si>
    <t>Janeiro</t>
  </si>
  <si>
    <t>ALIMENTAÇÃO</t>
  </si>
  <si>
    <t>OUTROS</t>
  </si>
  <si>
    <t>DIZIMO</t>
  </si>
  <si>
    <t>LAZER</t>
  </si>
  <si>
    <t>DIzimo</t>
  </si>
  <si>
    <t>Total Gasto</t>
  </si>
  <si>
    <t>Anos</t>
  </si>
  <si>
    <t>Valor</t>
  </si>
  <si>
    <t>Saldo</t>
  </si>
  <si>
    <t>Ano</t>
  </si>
  <si>
    <t>Descricao</t>
  </si>
  <si>
    <t>Dia</t>
  </si>
  <si>
    <t>Data</t>
  </si>
  <si>
    <t>Carteira</t>
  </si>
  <si>
    <t>Valores Fechamento</t>
  </si>
  <si>
    <t>PicPay</t>
  </si>
  <si>
    <t>Fluxo de Caixa de Reservas</t>
  </si>
  <si>
    <t>Saldo Anterior</t>
  </si>
  <si>
    <t>Reserva de Emergencia</t>
  </si>
  <si>
    <t>Plano de Medio a longo Prazo</t>
  </si>
  <si>
    <t>Aposentadoria</t>
  </si>
  <si>
    <t>Reserva da Consorisio Casa</t>
  </si>
  <si>
    <t>Entrou Janeiro</t>
  </si>
  <si>
    <t>Dizimo</t>
  </si>
  <si>
    <t>Alimentacao</t>
  </si>
  <si>
    <t>Dinheiro Casa</t>
  </si>
  <si>
    <t>Uber Exame de Admissao</t>
  </si>
  <si>
    <t>Crédito do Pessoal Chip</t>
  </si>
  <si>
    <t>Uber Shopping</t>
  </si>
  <si>
    <t>Nova Academia</t>
  </si>
  <si>
    <t>ACADEMIA</t>
  </si>
  <si>
    <t>entradas</t>
  </si>
  <si>
    <t xml:space="preserve">Mudar eles </t>
  </si>
  <si>
    <t xml:space="preserve">1 Caneca + Caneta </t>
  </si>
  <si>
    <t>Anuidade da Pratique</t>
  </si>
  <si>
    <t>14</t>
  </si>
  <si>
    <t>Dizimo  554,40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</si>
</sst>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R$&quot;\ * #,##0.00_-;\-&quot;R$&quot;\ * #,##0.00_-;_-&quot;R$&quot;\ 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scheme val="minor"/>
    </font>
    <font>
      <sz val="12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  <border>
      <left/>
      <right/>
      <top style="thin">
        <color theme="8" tint="0.39997558519241921"/>
      </top>
      <bottom style="thin">
        <color theme="8" tint="0.39997558519241921"/>
      </bottom>
      <diagonal/>
    </border>
    <border>
      <left style="thin">
        <color theme="8" tint="0.39997558519241921"/>
      </left>
      <right/>
      <top style="thin">
        <color theme="8" tint="0.39997558519241921"/>
      </top>
      <bottom style="thin">
        <color theme="8" tint="0.39997558519241921"/>
      </bottom>
      <diagonal/>
    </border>
    <border>
      <left style="medium">
        <color indexed="64"/>
      </left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6">
    <xf numFmtId="0" fontId="0" fillId="0" borderId="0" xfId="0"/>
    <xf numFmtId="44" fontId="0" fillId="0" borderId="0" xfId="1" applyFont="1"/>
    <xf numFmtId="0" fontId="0" fillId="3" borderId="0" xfId="0" applyFill="1"/>
    <xf numFmtId="0" fontId="0" fillId="0" borderId="0" xfId="0" applyAlignment="1">
      <alignment horizontal="center"/>
    </xf>
    <xf numFmtId="44" fontId="0" fillId="0" borderId="1" xfId="1" applyFont="1" applyBorder="1"/>
    <xf numFmtId="44" fontId="0" fillId="0" borderId="2" xfId="1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left"/>
    </xf>
    <xf numFmtId="44" fontId="0" fillId="0" borderId="0" xfId="0" applyNumberFormat="1"/>
    <xf numFmtId="44" fontId="2" fillId="0" borderId="6" xfId="1" applyFont="1" applyBorder="1"/>
    <xf numFmtId="0" fontId="0" fillId="0" borderId="5" xfId="1" applyNumberFormat="1" applyFont="1" applyBorder="1" applyAlignment="1">
      <alignment horizontal="center"/>
    </xf>
    <xf numFmtId="0" fontId="0" fillId="4" borderId="8" xfId="0" applyFont="1" applyFill="1" applyBorder="1" applyAlignment="1">
      <alignment horizontal="center"/>
    </xf>
    <xf numFmtId="44" fontId="0" fillId="4" borderId="7" xfId="1" applyNumberFormat="1" applyFont="1" applyFill="1" applyBorder="1"/>
    <xf numFmtId="0" fontId="0" fillId="4" borderId="9" xfId="0" applyFont="1" applyFill="1" applyBorder="1" applyAlignment="1">
      <alignment horizontal="center"/>
    </xf>
    <xf numFmtId="44" fontId="0" fillId="0" borderId="0" xfId="1" applyFont="1" applyAlignment="1">
      <alignment horizontal="left"/>
    </xf>
    <xf numFmtId="44" fontId="0" fillId="0" borderId="0" xfId="1" applyFont="1" applyBorder="1" applyAlignment="1">
      <alignment horizontal="center"/>
    </xf>
    <xf numFmtId="44" fontId="0" fillId="0" borderId="8" xfId="1" applyFont="1" applyBorder="1" applyAlignment="1">
      <alignment horizontal="center"/>
    </xf>
    <xf numFmtId="44" fontId="0" fillId="0" borderId="8" xfId="1" applyNumberFormat="1" applyFont="1" applyBorder="1" applyAlignment="1">
      <alignment horizontal="center"/>
    </xf>
    <xf numFmtId="0" fontId="0" fillId="2" borderId="0" xfId="0" applyFill="1" applyAlignment="1">
      <alignment horizontal="left"/>
    </xf>
    <xf numFmtId="0" fontId="0" fillId="0" borderId="0" xfId="0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/>
    </xf>
    <xf numFmtId="44" fontId="2" fillId="4" borderId="7" xfId="1" applyNumberFormat="1" applyFont="1" applyFill="1" applyBorder="1"/>
    <xf numFmtId="0" fontId="3" fillId="5" borderId="10" xfId="0" applyFont="1" applyFill="1" applyBorder="1" applyAlignment="1">
      <alignment horizontal="center"/>
    </xf>
    <xf numFmtId="0" fontId="3" fillId="5" borderId="0" xfId="0" applyFont="1" applyFill="1" applyBorder="1" applyAlignment="1">
      <alignment horizontal="center"/>
    </xf>
  </cellXfs>
  <cellStyles count="2">
    <cellStyle name="Moeda" xfId="1" builtinId="4"/>
    <cellStyle name="Normal" xfId="0" builtinId="0"/>
  </cellStyles>
  <dxfs count="43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 tint="-4.9989318521683403E-2"/>
      </font>
      <fill>
        <gradientFill degree="90">
          <stop position="0">
            <color rgb="FFC0F3AB"/>
          </stop>
          <stop position="1">
            <color rgb="FF2ED218"/>
          </stop>
        </gradient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bottom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8" tint="0.39997558519241921"/>
        </top>
        <bottom style="thin">
          <color theme="8" tint="0.3999755851924192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8" tint="0.39997558519241921"/>
        </top>
        <bottom style="thin">
          <color theme="8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/>
        <right style="thin">
          <color theme="8" tint="0.39997558519241921"/>
        </right>
        <top style="thin">
          <color theme="8" tint="0.39997558519241921"/>
        </top>
        <bottom style="thin">
          <color theme="8" tint="0.3999755851924192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8" tint="0.39997558519241921"/>
        </top>
        <bottom style="thin">
          <color theme="8" tint="0.3999755851924192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8" tint="0.39997558519241921"/>
        </top>
        <bottom style="thin">
          <color theme="8" tint="0.3999755851924192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8" tint="0.39997558519241921"/>
        </top>
        <bottom style="thin">
          <color theme="8" tint="0.3999755851924192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8" tint="0.39997558519241921"/>
        </top>
        <bottom style="thin">
          <color theme="8" tint="0.3999755851924192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8" tint="0.39997558519241921"/>
        </left>
        <right/>
        <top style="thin">
          <color theme="8" tint="0.39997558519241921"/>
        </top>
        <bottom style="thin">
          <color theme="8" tint="0.39997558519241921"/>
        </bottom>
        <vertical/>
        <horizontal/>
      </border>
    </dxf>
    <dxf>
      <border outline="0">
        <bottom style="thin">
          <color theme="8" tint="0.39997558519241921"/>
        </bottom>
      </border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0" tint="-4.9989318521683403E-2"/>
      </font>
      <fill>
        <patternFill patternType="solid">
          <fgColor auto="1"/>
          <bgColor theme="3" tint="0.79998168889431442"/>
        </patternFill>
      </fill>
      <border>
        <left style="medium">
          <color theme="0" tint="-0.24994659260841701"/>
        </left>
        <right style="medium">
          <color theme="0" tint="-0.24994659260841701"/>
        </right>
        <top style="medium">
          <color theme="0" tint="-0.24994659260841701"/>
        </top>
        <bottom style="medium">
          <color theme="0" tint="-0.24994659260841701"/>
        </bottom>
        <vertical style="medium">
          <color theme="0" tint="-0.24994659260841701"/>
        </vertical>
        <horizontal style="medium">
          <color theme="0" tint="-0.24994659260841701"/>
        </horizontal>
      </border>
    </dxf>
    <dxf>
      <fill>
        <patternFill>
          <bgColor rgb="FFEAF1FA"/>
        </patternFill>
      </fill>
      <border diagonalDown="1">
        <left style="thick">
          <color theme="0" tint="-0.34998626667073579"/>
        </left>
        <right style="thick">
          <color theme="0" tint="-0.34998626667073579"/>
        </right>
        <top style="thick">
          <color theme="0" tint="-0.34998626667073579"/>
        </top>
        <bottom style="thick">
          <color theme="0" tint="-0.34998626667073579"/>
        </bottom>
        <diagonal style="medium">
          <color theme="0" tint="-0.34998626667073579"/>
        </diagonal>
        <vertical style="medium">
          <color theme="0" tint="-0.34998626667073579"/>
        </vertical>
        <horizontal style="thick">
          <color theme="0" tint="-0.34998626667073579"/>
        </horizontal>
      </border>
    </dxf>
    <dxf>
      <fill>
        <patternFill>
          <bgColor theme="4" tint="0.79998168889431442"/>
        </patternFill>
      </fill>
      <border diagonalDown="1">
        <left style="thick">
          <color theme="0" tint="-0.24994659260841701"/>
        </left>
        <right style="thick">
          <color theme="0" tint="-0.24994659260841701"/>
        </right>
        <top style="thick">
          <color theme="0" tint="-0.24994659260841701"/>
        </top>
        <bottom style="thick">
          <color theme="0" tint="-0.24994659260841701"/>
        </bottom>
        <diagonal style="thick">
          <color theme="0" tint="-0.24994659260841701"/>
        </diagonal>
        <vertical style="thick">
          <color theme="0" tint="-0.24994659260841701"/>
        </vertical>
        <horizontal style="thick">
          <color theme="0" tint="-0.24994659260841701"/>
        </horizontal>
      </border>
    </dxf>
    <dxf>
      <font>
        <b/>
        <i/>
        <u val="double"/>
        <color theme="2"/>
      </font>
      <fill>
        <gradientFill type="path">
          <stop position="0">
            <color rgb="FFFF9966"/>
          </stop>
          <stop position="1">
            <color theme="9" tint="-0.25098422193060094"/>
          </stop>
        </gradientFill>
      </fill>
      <border diagonalDown="1">
        <left style="medium">
          <color theme="9" tint="-0.499984740745262"/>
        </left>
        <right style="medium">
          <color theme="9" tint="-0.499984740745262"/>
        </right>
        <top style="medium">
          <color theme="9" tint="-0.499984740745262"/>
        </top>
        <bottom style="medium">
          <color theme="9" tint="-0.499984740745262"/>
        </bottom>
        <diagonal style="medium">
          <color theme="9" tint="-0.499984740745262"/>
        </diagonal>
        <vertical style="medium">
          <color theme="9" tint="-0.499984740745262"/>
        </vertical>
        <horizontal style="medium">
          <color theme="9" tint="-0.499984740745262"/>
        </horizontal>
      </border>
    </dxf>
    <dxf>
      <font>
        <color theme="0" tint="-4.9989318521683403E-2"/>
      </font>
      <fill>
        <gradientFill type="path">
          <stop position="0">
            <color rgb="FFFF9966"/>
          </stop>
          <stop position="1">
            <color rgb="FFF24A2E"/>
          </stop>
        </gradientFill>
      </fill>
      <border diagonalDown="1">
        <left style="thick">
          <color theme="0" tint="-0.34998626667073579"/>
        </left>
        <right style="thick">
          <color theme="0" tint="-0.34998626667073579"/>
        </right>
        <top style="thick">
          <color theme="0" tint="-0.34998626667073579"/>
        </top>
        <bottom style="thick">
          <color theme="0" tint="-0.34998626667073579"/>
        </bottom>
        <diagonal style="thick">
          <color theme="0" tint="-0.34998626667073579"/>
        </diagonal>
        <vertical style="thick">
          <color theme="0" tint="-0.34998626667073579"/>
        </vertical>
        <horizontal style="thick">
          <color theme="0" tint="-0.34998626667073579"/>
        </horizontal>
      </border>
    </dxf>
  </dxfs>
  <tableStyles count="2" defaultTableStyle="TableStyleMedium2" defaultPivotStyle="PivotStyleLight16">
    <tableStyle name="Estilo de Tabela 1" pivot="0" count="5">
      <tableStyleElement type="headerRow" dxfId="42"/>
      <tableStyleElement type="totalRow" dxfId="41"/>
      <tableStyleElement type="firstRowStripe" dxfId="40"/>
      <tableStyleElement type="secondRowStripe" dxfId="39"/>
      <tableStyleElement type="firstColumnStripe" size="2" dxfId="38"/>
    </tableStyle>
    <tableStyle name="SlicerStyleLight1 2" pivot="0" table="0" count="9">
      <tableStyleElement type="headerRow" dxfId="37"/>
    </tableStyle>
  </tableStyles>
  <colors>
    <mruColors>
      <color rgb="FFC0F3AB"/>
      <color rgb="FF2ED218"/>
      <color rgb="FF0066CC"/>
      <color rgb="FF000066"/>
      <color rgb="FF0099FF"/>
      <color rgb="FF5DBDFF"/>
      <color rgb="FFF5FAFD"/>
      <color rgb="FFEDFCFD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Gastos do</a:t>
            </a:r>
            <a:r>
              <a:rPr lang="pt-BR" baseline="0"/>
              <a:t> mês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base!$M$4</c:f>
              <c:strCache>
                <c:ptCount val="1"/>
                <c:pt idx="0">
                  <c:v>Bens</c:v>
                </c:pt>
              </c:strCache>
            </c:strRef>
          </c:tx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base!$K$5:$L$5</c:f>
              <c:strCache>
                <c:ptCount val="2"/>
                <c:pt idx="0">
                  <c:v>2022</c:v>
                </c:pt>
                <c:pt idx="1">
                  <c:v>Janeiro</c:v>
                </c:pt>
              </c:strCache>
            </c:strRef>
          </c:cat>
          <c:val>
            <c:numRef>
              <c:f>base!$M$5</c:f>
              <c:numCache>
                <c:formatCode>_("R$"* #,##0.00_);_("R$"* \(#,##0.00\);_("R$"* "-"??_);_(@_)</c:formatCode>
                <c:ptCount val="1"/>
                <c:pt idx="0">
                  <c:v>-42.94</c:v>
                </c:pt>
              </c:numCache>
            </c:numRef>
          </c:val>
        </c:ser>
        <c:ser>
          <c:idx val="1"/>
          <c:order val="1"/>
          <c:tx>
            <c:strRef>
              <c:f>base!$N$4</c:f>
              <c:strCache>
                <c:ptCount val="1"/>
                <c:pt idx="0">
                  <c:v>Lazer</c:v>
                </c:pt>
              </c:strCache>
            </c:strRef>
          </c:tx>
          <c:spPr>
            <a:gradFill flip="none" rotWithShape="1">
              <a:gsLst>
                <a:gs pos="0">
                  <a:schemeClr val="accent2"/>
                </a:gs>
                <a:gs pos="75000">
                  <a:schemeClr val="accent2">
                    <a:lumMod val="60000"/>
                    <a:lumOff val="40000"/>
                  </a:schemeClr>
                </a:gs>
                <a:gs pos="51000">
                  <a:schemeClr val="accent2">
                    <a:alpha val="75000"/>
                  </a:schemeClr>
                </a:gs>
                <a:gs pos="100000">
                  <a:schemeClr val="accent2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base!$K$5:$L$5</c:f>
              <c:strCache>
                <c:ptCount val="2"/>
                <c:pt idx="0">
                  <c:v>2022</c:v>
                </c:pt>
                <c:pt idx="1">
                  <c:v>Janeiro</c:v>
                </c:pt>
              </c:strCache>
            </c:strRef>
          </c:cat>
          <c:val>
            <c:numRef>
              <c:f>base!$N$5</c:f>
              <c:numCache>
                <c:formatCode>_("R$"* #,##0.00_);_("R$"* \(#,##0.00\);_("R$"* "-"??_);_(@_)</c:formatCode>
                <c:ptCount val="1"/>
                <c:pt idx="0">
                  <c:v>-33.47</c:v>
                </c:pt>
              </c:numCache>
            </c:numRef>
          </c:val>
        </c:ser>
        <c:ser>
          <c:idx val="2"/>
          <c:order val="2"/>
          <c:tx>
            <c:strRef>
              <c:f>base!$O$4</c:f>
              <c:strCache>
                <c:ptCount val="1"/>
                <c:pt idx="0">
                  <c:v>Academia</c:v>
                </c:pt>
              </c:strCache>
            </c:strRef>
          </c:tx>
          <c:spPr>
            <a:gradFill flip="none" rotWithShape="1">
              <a:gsLst>
                <a:gs pos="0">
                  <a:schemeClr val="accent3"/>
                </a:gs>
                <a:gs pos="75000">
                  <a:schemeClr val="accent3">
                    <a:lumMod val="60000"/>
                    <a:lumOff val="40000"/>
                  </a:schemeClr>
                </a:gs>
                <a:gs pos="51000">
                  <a:schemeClr val="accent3">
                    <a:alpha val="75000"/>
                  </a:schemeClr>
                </a:gs>
                <a:gs pos="100000">
                  <a:schemeClr val="accent3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base!$K$5:$L$5</c:f>
              <c:strCache>
                <c:ptCount val="2"/>
                <c:pt idx="0">
                  <c:v>2022</c:v>
                </c:pt>
                <c:pt idx="1">
                  <c:v>Janeiro</c:v>
                </c:pt>
              </c:strCache>
            </c:strRef>
          </c:cat>
          <c:val>
            <c:numRef>
              <c:f>base!$O$5</c:f>
              <c:numCache>
                <c:formatCode>_("R$"* #,##0.00_);_("R$"* \(#,##0.00\);_("R$"* "-"??_);_(@_)</c:formatCode>
                <c:ptCount val="1"/>
                <c:pt idx="0">
                  <c:v>-118.95</c:v>
                </c:pt>
              </c:numCache>
            </c:numRef>
          </c:val>
        </c:ser>
        <c:ser>
          <c:idx val="3"/>
          <c:order val="3"/>
          <c:tx>
            <c:strRef>
              <c:f>base!$P$4</c:f>
              <c:strCache>
                <c:ptCount val="1"/>
                <c:pt idx="0">
                  <c:v>Alimentação</c:v>
                </c:pt>
              </c:strCache>
            </c:strRef>
          </c:tx>
          <c:spPr>
            <a:gradFill flip="none" rotWithShape="1">
              <a:gsLst>
                <a:gs pos="0">
                  <a:schemeClr val="accent4"/>
                </a:gs>
                <a:gs pos="75000">
                  <a:schemeClr val="accent4">
                    <a:lumMod val="60000"/>
                    <a:lumOff val="40000"/>
                  </a:schemeClr>
                </a:gs>
                <a:gs pos="51000">
                  <a:schemeClr val="accent4">
                    <a:alpha val="75000"/>
                  </a:schemeClr>
                </a:gs>
                <a:gs pos="100000">
                  <a:schemeClr val="accent4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base!$K$5:$L$5</c:f>
              <c:strCache>
                <c:ptCount val="2"/>
                <c:pt idx="0">
                  <c:v>2022</c:v>
                </c:pt>
                <c:pt idx="1">
                  <c:v>Janeiro</c:v>
                </c:pt>
              </c:strCache>
            </c:strRef>
          </c:cat>
          <c:val>
            <c:numRef>
              <c:f>base!$P$5</c:f>
              <c:numCache>
                <c:formatCode>_("R$"* #,##0.00_);_("R$"* \(#,##0.00\);_("R$"* "-"??_);_(@_)</c:formatCode>
                <c:ptCount val="1"/>
                <c:pt idx="0">
                  <c:v>-100</c:v>
                </c:pt>
              </c:numCache>
            </c:numRef>
          </c:val>
        </c:ser>
        <c:ser>
          <c:idx val="4"/>
          <c:order val="4"/>
          <c:tx>
            <c:strRef>
              <c:f>base!$Q$4</c:f>
              <c:strCache>
                <c:ptCount val="1"/>
                <c:pt idx="0">
                  <c:v>Cabelo</c:v>
                </c:pt>
              </c:strCache>
            </c:strRef>
          </c:tx>
          <c:spPr>
            <a:gradFill flip="none" rotWithShape="1">
              <a:gsLst>
                <a:gs pos="0">
                  <a:schemeClr val="accent5"/>
                </a:gs>
                <a:gs pos="75000">
                  <a:schemeClr val="accent5">
                    <a:lumMod val="60000"/>
                    <a:lumOff val="40000"/>
                  </a:schemeClr>
                </a:gs>
                <a:gs pos="51000">
                  <a:schemeClr val="accent5">
                    <a:alpha val="75000"/>
                  </a:schemeClr>
                </a:gs>
                <a:gs pos="100000">
                  <a:schemeClr val="accent5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base!$K$5:$L$5</c:f>
              <c:strCache>
                <c:ptCount val="2"/>
                <c:pt idx="0">
                  <c:v>2022</c:v>
                </c:pt>
                <c:pt idx="1">
                  <c:v>Janeiro</c:v>
                </c:pt>
              </c:strCache>
            </c:strRef>
          </c:cat>
          <c:val>
            <c:numRef>
              <c:f>base!$Q$5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base!$R$4</c:f>
              <c:strCache>
                <c:ptCount val="1"/>
                <c:pt idx="0">
                  <c:v>DIzimo</c:v>
                </c:pt>
              </c:strCache>
            </c:strRef>
          </c:tx>
          <c:spPr>
            <a:gradFill flip="none" rotWithShape="1">
              <a:gsLst>
                <a:gs pos="0">
                  <a:schemeClr val="accent6"/>
                </a:gs>
                <a:gs pos="75000">
                  <a:schemeClr val="accent6">
                    <a:lumMod val="60000"/>
                    <a:lumOff val="40000"/>
                  </a:schemeClr>
                </a:gs>
                <a:gs pos="51000">
                  <a:schemeClr val="accent6">
                    <a:alpha val="75000"/>
                  </a:schemeClr>
                </a:gs>
                <a:gs pos="100000">
                  <a:schemeClr val="accent6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base!$K$5:$L$5</c:f>
              <c:strCache>
                <c:ptCount val="2"/>
                <c:pt idx="0">
                  <c:v>2022</c:v>
                </c:pt>
                <c:pt idx="1">
                  <c:v>Janeiro</c:v>
                </c:pt>
              </c:strCache>
            </c:strRef>
          </c:cat>
          <c:val>
            <c:numRef>
              <c:f>base!$R$5</c:f>
              <c:numCache>
                <c:formatCode>_("R$"* #,##0.00_);_("R$"* \(#,##0.00\);_("R$"* "-"??_);_(@_)</c:formatCode>
                <c:ptCount val="1"/>
                <c:pt idx="0">
                  <c:v>-154.4</c:v>
                </c:pt>
              </c:numCache>
            </c:numRef>
          </c:val>
        </c:ser>
        <c:ser>
          <c:idx val="7"/>
          <c:order val="7"/>
          <c:tx>
            <c:strRef>
              <c:f>base!$T$4</c:f>
              <c:strCache>
                <c:ptCount val="1"/>
                <c:pt idx="0">
                  <c:v>Outros</c:v>
                </c:pt>
              </c:strCache>
            </c:strRef>
          </c:tx>
          <c:spPr>
            <a:gradFill flip="none" rotWithShape="1">
              <a:gsLst>
                <a:gs pos="0">
                  <a:schemeClr val="accent2">
                    <a:lumMod val="60000"/>
                  </a:schemeClr>
                </a:gs>
                <a:gs pos="75000">
                  <a:schemeClr val="accent2">
                    <a:lumMod val="60000"/>
                    <a:lumMod val="60000"/>
                    <a:lumOff val="40000"/>
                  </a:schemeClr>
                </a:gs>
                <a:gs pos="51000">
                  <a:schemeClr val="accent2">
                    <a:lumMod val="60000"/>
                    <a:alpha val="75000"/>
                  </a:schemeClr>
                </a:gs>
                <a:gs pos="100000">
                  <a:schemeClr val="accent2">
                    <a:lumMod val="600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base!$K$5:$L$5</c:f>
              <c:strCache>
                <c:ptCount val="2"/>
                <c:pt idx="0">
                  <c:v>2022</c:v>
                </c:pt>
                <c:pt idx="1">
                  <c:v>Janeiro</c:v>
                </c:pt>
              </c:strCache>
            </c:strRef>
          </c:cat>
          <c:val>
            <c:numRef>
              <c:f>base!$T$5</c:f>
              <c:numCache>
                <c:formatCode>_("R$"* #,##0.00_);_("R$"* \(#,##0.00\);_("R$"* "-"??_);_(@_)</c:formatCode>
                <c:ptCount val="1"/>
                <c:pt idx="0">
                  <c:v>-100</c:v>
                </c:pt>
              </c:numCache>
            </c:numRef>
          </c:val>
        </c:ser>
        <c:ser>
          <c:idx val="8"/>
          <c:order val="8"/>
          <c:tx>
            <c:strRef>
              <c:f>base!$U$4</c:f>
              <c:strCache>
                <c:ptCount val="1"/>
                <c:pt idx="0">
                  <c:v>Racão</c:v>
                </c:pt>
              </c:strCache>
            </c:strRef>
          </c:tx>
          <c:spPr>
            <a:gradFill flip="none" rotWithShape="1">
              <a:gsLst>
                <a:gs pos="0">
                  <a:schemeClr val="accent3">
                    <a:lumMod val="60000"/>
                  </a:schemeClr>
                </a:gs>
                <a:gs pos="75000">
                  <a:schemeClr val="accent3">
                    <a:lumMod val="60000"/>
                    <a:lumMod val="60000"/>
                    <a:lumOff val="40000"/>
                  </a:schemeClr>
                </a:gs>
                <a:gs pos="51000">
                  <a:schemeClr val="accent3">
                    <a:lumMod val="60000"/>
                    <a:alpha val="75000"/>
                  </a:schemeClr>
                </a:gs>
                <a:gs pos="100000">
                  <a:schemeClr val="accent3">
                    <a:lumMod val="600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base!$K$5:$L$5</c:f>
              <c:strCache>
                <c:ptCount val="2"/>
                <c:pt idx="0">
                  <c:v>2022</c:v>
                </c:pt>
                <c:pt idx="1">
                  <c:v>Janeiro</c:v>
                </c:pt>
              </c:strCache>
            </c:strRef>
          </c:cat>
          <c:val>
            <c:numRef>
              <c:f>base!$U$5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</c:ser>
        <c:ser>
          <c:idx val="9"/>
          <c:order val="9"/>
          <c:tx>
            <c:strRef>
              <c:f>base!$V$4</c:f>
              <c:strCache>
                <c:ptCount val="1"/>
                <c:pt idx="0">
                  <c:v>Total Gasto</c:v>
                </c:pt>
              </c:strCache>
            </c:strRef>
          </c:tx>
          <c:spPr>
            <a:gradFill flip="none" rotWithShape="1">
              <a:gsLst>
                <a:gs pos="0">
                  <a:schemeClr val="accent4">
                    <a:lumMod val="60000"/>
                  </a:schemeClr>
                </a:gs>
                <a:gs pos="75000">
                  <a:schemeClr val="accent4">
                    <a:lumMod val="60000"/>
                    <a:lumMod val="60000"/>
                    <a:lumOff val="40000"/>
                  </a:schemeClr>
                </a:gs>
                <a:gs pos="51000">
                  <a:schemeClr val="accent4">
                    <a:lumMod val="60000"/>
                    <a:alpha val="75000"/>
                  </a:schemeClr>
                </a:gs>
                <a:gs pos="100000">
                  <a:schemeClr val="accent4">
                    <a:lumMod val="600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base!$K$5:$L$5</c:f>
              <c:strCache>
                <c:ptCount val="2"/>
                <c:pt idx="0">
                  <c:v>2022</c:v>
                </c:pt>
                <c:pt idx="1">
                  <c:v>Janeiro</c:v>
                </c:pt>
              </c:strCache>
            </c:strRef>
          </c:cat>
          <c:val>
            <c:numRef>
              <c:f>base!$V$5</c:f>
              <c:numCache>
                <c:formatCode>_("R$"* #,##0.00_);_("R$"* \(#,##0.00\);_("R$"* "-"??_);_(@_)</c:formatCode>
                <c:ptCount val="1"/>
                <c:pt idx="0">
                  <c:v>-549.76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55"/>
        <c:overlap val="-70"/>
        <c:axId val="293128648"/>
        <c:axId val="292976312"/>
        <c:extLst>
          <c:ext xmlns:c15="http://schemas.microsoft.com/office/drawing/2012/chart" uri="{02D57815-91ED-43cb-92C2-25804820EDAC}">
            <c15:filteredBarSeries>
              <c15:ser>
                <c:idx val="6"/>
                <c:order val="6"/>
                <c:tx>
                  <c:strRef>
                    <c:extLst>
                      <c:ext uri="{02D57815-91ED-43cb-92C2-25804820EDAC}">
                        <c15:formulaRef>
                          <c15:sqref>base!$S$4</c15:sqref>
                        </c15:formulaRef>
                      </c:ext>
                    </c:extLst>
                    <c:strCache>
                      <c:ptCount val="1"/>
                      <c:pt idx="0">
                        <c:v>Entradas</c:v>
                      </c:pt>
                    </c:strCache>
                  </c:strRef>
                </c:tx>
                <c:spPr>
                  <a:gradFill flip="none" rotWithShape="1">
                    <a:gsLst>
                      <a:gs pos="0">
                        <a:schemeClr val="accent1">
                          <a:lumMod val="60000"/>
                        </a:schemeClr>
                      </a:gs>
                      <a:gs pos="75000">
                        <a:schemeClr val="accent1">
                          <a:lumMod val="60000"/>
                          <a:lumMod val="60000"/>
                          <a:lumOff val="40000"/>
                        </a:schemeClr>
                      </a:gs>
                      <a:gs pos="51000">
                        <a:schemeClr val="accent1">
                          <a:lumMod val="60000"/>
                          <a:alpha val="75000"/>
                        </a:schemeClr>
                      </a:gs>
                      <a:gs pos="100000">
                        <a:schemeClr val="accent1">
                          <a:lumMod val="60000"/>
                          <a:lumMod val="20000"/>
                          <a:lumOff val="80000"/>
                          <a:alpha val="15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4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layout/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base!$K$5:$L$5</c15:sqref>
                        </c15:formulaRef>
                      </c:ext>
                    </c:extLst>
                    <c:strCache>
                      <c:ptCount val="2"/>
                      <c:pt idx="0">
                        <c:v>2022</c:v>
                      </c:pt>
                      <c:pt idx="1">
                        <c:v>Janeiro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base!$S$5</c15:sqref>
                        </c15:formulaRef>
                      </c:ext>
                    </c:extLst>
                    <c:numCache>
                      <c:formatCode>_("R$"* #,##0.00_);_("R$"* \(#,##0.00\);_("R$"* "-"??_);_(@_)</c:formatCode>
                      <c:ptCount val="1"/>
                      <c:pt idx="0">
                        <c:v>1100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293128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2976312"/>
        <c:crosses val="autoZero"/>
        <c:auto val="1"/>
        <c:lblAlgn val="ctr"/>
        <c:lblOffset val="100"/>
        <c:noMultiLvlLbl val="0"/>
      </c:catAx>
      <c:valAx>
        <c:axId val="29297631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3128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.xml"/><Relationship Id="rId3" Type="http://schemas.openxmlformats.org/officeDocument/2006/relationships/image" Target="../media/image1.png"/><Relationship Id="rId7" Type="http://schemas.openxmlformats.org/officeDocument/2006/relationships/image" Target="../media/image4.png"/><Relationship Id="rId2" Type="http://schemas.openxmlformats.org/officeDocument/2006/relationships/hyperlink" Target="#acumulado!A1"/><Relationship Id="rId1" Type="http://schemas.openxmlformats.org/officeDocument/2006/relationships/hyperlink" Target="#dashBoard!A1"/><Relationship Id="rId6" Type="http://schemas.openxmlformats.org/officeDocument/2006/relationships/hyperlink" Target="#base!A1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461458</xdr:colOff>
      <xdr:row>0</xdr:row>
      <xdr:rowOff>78084</xdr:rowOff>
    </xdr:from>
    <xdr:to>
      <xdr:col>32</xdr:col>
      <xdr:colOff>537307</xdr:colOff>
      <xdr:row>32</xdr:row>
      <xdr:rowOff>145162</xdr:rowOff>
    </xdr:to>
    <xdr:sp macro="" textlink="">
      <xdr:nvSpPr>
        <xdr:cNvPr id="3" name="Retângulo Arredondado 2"/>
        <xdr:cNvSpPr/>
      </xdr:nvSpPr>
      <xdr:spPr>
        <a:xfrm>
          <a:off x="461458" y="78084"/>
          <a:ext cx="19614311" cy="6319386"/>
        </a:xfrm>
        <a:prstGeom prst="roundRect">
          <a:avLst>
            <a:gd name="adj" fmla="val 7616"/>
          </a:avLst>
        </a:prstGeom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101714</xdr:colOff>
      <xdr:row>0</xdr:row>
      <xdr:rowOff>66261</xdr:rowOff>
    </xdr:from>
    <xdr:to>
      <xdr:col>6</xdr:col>
      <xdr:colOff>121227</xdr:colOff>
      <xdr:row>32</xdr:row>
      <xdr:rowOff>149087</xdr:rowOff>
    </xdr:to>
    <xdr:sp macro="" textlink="">
      <xdr:nvSpPr>
        <xdr:cNvPr id="4" name="Retângulo Arredondado 3"/>
        <xdr:cNvSpPr/>
      </xdr:nvSpPr>
      <xdr:spPr>
        <a:xfrm>
          <a:off x="101714" y="66261"/>
          <a:ext cx="3696991" cy="6178826"/>
        </a:xfrm>
        <a:prstGeom prst="roundRect">
          <a:avLst>
            <a:gd name="adj" fmla="val 12988"/>
          </a:avLst>
        </a:prstGeom>
        <a:solidFill>
          <a:srgbClr val="0066CC"/>
        </a:solidFill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547937</xdr:colOff>
      <xdr:row>1</xdr:row>
      <xdr:rowOff>108857</xdr:rowOff>
    </xdr:from>
    <xdr:to>
      <xdr:col>24</xdr:col>
      <xdr:colOff>95250</xdr:colOff>
      <xdr:row>31</xdr:row>
      <xdr:rowOff>163286</xdr:rowOff>
    </xdr:to>
    <xdr:sp macro="" textlink="">
      <xdr:nvSpPr>
        <xdr:cNvPr id="6" name="Retângulo Arredondado 5"/>
        <xdr:cNvSpPr/>
      </xdr:nvSpPr>
      <xdr:spPr>
        <a:xfrm>
          <a:off x="4221866" y="299357"/>
          <a:ext cx="10569098" cy="5769429"/>
        </a:xfrm>
        <a:prstGeom prst="roundRect">
          <a:avLst>
            <a:gd name="adj" fmla="val 11950"/>
          </a:avLst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467455</xdr:colOff>
      <xdr:row>15</xdr:row>
      <xdr:rowOff>62394</xdr:rowOff>
    </xdr:from>
    <xdr:to>
      <xdr:col>5</xdr:col>
      <xdr:colOff>222527</xdr:colOff>
      <xdr:row>18</xdr:row>
      <xdr:rowOff>48787</xdr:rowOff>
    </xdr:to>
    <xdr:sp macro="" textlink="">
      <xdr:nvSpPr>
        <xdr:cNvPr id="11" name="Retângulo Arredondado 10">
          <a:hlinkClick xmlns:r="http://schemas.openxmlformats.org/officeDocument/2006/relationships" r:id="rId1"/>
        </xdr:cNvPr>
        <xdr:cNvSpPr/>
      </xdr:nvSpPr>
      <xdr:spPr>
        <a:xfrm>
          <a:off x="467455" y="2850199"/>
          <a:ext cx="2775194" cy="543954"/>
        </a:xfrm>
        <a:prstGeom prst="roundRect">
          <a:avLst>
            <a:gd name="adj" fmla="val 47619"/>
          </a:avLst>
        </a:prstGeom>
        <a:solidFill>
          <a:schemeClr val="tx1">
            <a:lumMod val="85000"/>
            <a:lumOff val="15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 b="1">
              <a:latin typeface="HP Simplified" panose="020B0606020204020204" pitchFamily="34" charset="0"/>
            </a:rPr>
            <a:t>DashBoard</a:t>
          </a:r>
          <a:endParaRPr lang="pt-BR" sz="1100" b="1">
            <a:latin typeface="HP Simplified" panose="020B0606020204020204" pitchFamily="34" charset="0"/>
          </a:endParaRPr>
        </a:p>
      </xdr:txBody>
    </xdr:sp>
    <xdr:clientData/>
  </xdr:twoCellAnchor>
  <xdr:twoCellAnchor>
    <xdr:from>
      <xdr:col>0</xdr:col>
      <xdr:colOff>432606</xdr:colOff>
      <xdr:row>18</xdr:row>
      <xdr:rowOff>88016</xdr:rowOff>
    </xdr:from>
    <xdr:to>
      <xdr:col>5</xdr:col>
      <xdr:colOff>187678</xdr:colOff>
      <xdr:row>21</xdr:row>
      <xdr:rowOff>74409</xdr:rowOff>
    </xdr:to>
    <xdr:sp macro="[0]!exibicaoFluxo_Caixa" textlink="">
      <xdr:nvSpPr>
        <xdr:cNvPr id="14" name="Retângulo Arredondado 13"/>
        <xdr:cNvSpPr/>
      </xdr:nvSpPr>
      <xdr:spPr>
        <a:xfrm>
          <a:off x="432606" y="3433382"/>
          <a:ext cx="2775194" cy="543954"/>
        </a:xfrm>
        <a:prstGeom prst="roundRect">
          <a:avLst>
            <a:gd name="adj" fmla="val 47619"/>
          </a:avLst>
        </a:prstGeom>
        <a:solidFill>
          <a:srgbClr val="0099FF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2000" b="1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HP Simplified" panose="020B0606020204020204" pitchFamily="34" charset="0"/>
              <a:ea typeface="+mn-ea"/>
              <a:cs typeface="+mn-cs"/>
            </a:rPr>
            <a:t>Fluxo de Caixa</a:t>
          </a:r>
          <a:endParaRPr lang="pt-BR" sz="1100"/>
        </a:p>
      </xdr:txBody>
    </xdr:sp>
    <xdr:clientData/>
  </xdr:twoCellAnchor>
  <xdr:twoCellAnchor>
    <xdr:from>
      <xdr:col>0</xdr:col>
      <xdr:colOff>455839</xdr:colOff>
      <xdr:row>21</xdr:row>
      <xdr:rowOff>141514</xdr:rowOff>
    </xdr:from>
    <xdr:to>
      <xdr:col>5</xdr:col>
      <xdr:colOff>210911</xdr:colOff>
      <xdr:row>24</xdr:row>
      <xdr:rowOff>127907</xdr:rowOff>
    </xdr:to>
    <xdr:sp macro="" textlink="">
      <xdr:nvSpPr>
        <xdr:cNvPr id="16" name="Retângulo Arredondado 15">
          <a:hlinkClick xmlns:r="http://schemas.openxmlformats.org/officeDocument/2006/relationships" r:id="rId2"/>
        </xdr:cNvPr>
        <xdr:cNvSpPr/>
      </xdr:nvSpPr>
      <xdr:spPr>
        <a:xfrm>
          <a:off x="455839" y="4044441"/>
          <a:ext cx="2775194" cy="543954"/>
        </a:xfrm>
        <a:prstGeom prst="roundRect">
          <a:avLst>
            <a:gd name="adj" fmla="val 47619"/>
          </a:avLst>
        </a:prstGeom>
        <a:solidFill>
          <a:srgbClr val="0099FF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2000" b="1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HP Simplified" panose="020B0606020204020204" pitchFamily="34" charset="0"/>
              <a:ea typeface="+mn-ea"/>
              <a:cs typeface="+mn-cs"/>
            </a:rPr>
            <a:t>Acumulados</a:t>
          </a:r>
          <a:endParaRPr kumimoji="0" lang="pt-BR" sz="1100" b="1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HP Simplified" panose="020B0606020204020204" pitchFamily="34" charset="0"/>
            <a:ea typeface="+mn-ea"/>
            <a:cs typeface="+mn-cs"/>
          </a:endParaRP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455839</xdr:colOff>
      <xdr:row>25</xdr:row>
      <xdr:rowOff>21772</xdr:rowOff>
    </xdr:from>
    <xdr:to>
      <xdr:col>5</xdr:col>
      <xdr:colOff>210911</xdr:colOff>
      <xdr:row>28</xdr:row>
      <xdr:rowOff>8165</xdr:rowOff>
    </xdr:to>
    <xdr:sp macro="" textlink="">
      <xdr:nvSpPr>
        <xdr:cNvPr id="17" name="Retângulo Arredondado 16"/>
        <xdr:cNvSpPr/>
      </xdr:nvSpPr>
      <xdr:spPr>
        <a:xfrm>
          <a:off x="455839" y="4668113"/>
          <a:ext cx="2775194" cy="543954"/>
        </a:xfrm>
        <a:prstGeom prst="roundRect">
          <a:avLst>
            <a:gd name="adj" fmla="val 47619"/>
          </a:avLst>
        </a:prstGeom>
        <a:solidFill>
          <a:srgbClr val="0099FF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2000" b="1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HP Simplified" panose="020B0606020204020204" pitchFamily="34" charset="0"/>
              <a:ea typeface="+mn-ea"/>
              <a:cs typeface="+mn-cs"/>
            </a:rPr>
            <a:t>Chaves</a:t>
          </a:r>
          <a:endParaRPr kumimoji="0" lang="pt-BR" sz="1100" b="1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HP Simplified" panose="020B0606020204020204" pitchFamily="34" charset="0"/>
            <a:ea typeface="+mn-ea"/>
            <a:cs typeface="+mn-cs"/>
          </a:endParaRP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517860</xdr:colOff>
      <xdr:row>28</xdr:row>
      <xdr:rowOff>119745</xdr:rowOff>
    </xdr:from>
    <xdr:to>
      <xdr:col>2</xdr:col>
      <xdr:colOff>585895</xdr:colOff>
      <xdr:row>31</xdr:row>
      <xdr:rowOff>95251</xdr:rowOff>
    </xdr:to>
    <xdr:sp macro="" textlink="">
      <xdr:nvSpPr>
        <xdr:cNvPr id="18" name="Retângulo Arredondado 17"/>
        <xdr:cNvSpPr/>
      </xdr:nvSpPr>
      <xdr:spPr>
        <a:xfrm>
          <a:off x="517860" y="5531049"/>
          <a:ext cx="1282818" cy="555289"/>
        </a:xfrm>
        <a:prstGeom prst="roundRect">
          <a:avLst>
            <a:gd name="adj" fmla="val 47619"/>
          </a:avLst>
        </a:prstGeom>
        <a:solidFill>
          <a:srgbClr val="0099FF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100691</xdr:colOff>
      <xdr:row>28</xdr:row>
      <xdr:rowOff>111582</xdr:rowOff>
    </xdr:from>
    <xdr:to>
      <xdr:col>5</xdr:col>
      <xdr:colOff>152400</xdr:colOff>
      <xdr:row>31</xdr:row>
      <xdr:rowOff>87088</xdr:rowOff>
    </xdr:to>
    <xdr:sp macro="[0]!Sair" textlink="">
      <xdr:nvSpPr>
        <xdr:cNvPr id="19" name="Retângulo Arredondado 18"/>
        <xdr:cNvSpPr/>
      </xdr:nvSpPr>
      <xdr:spPr>
        <a:xfrm>
          <a:off x="1929491" y="5445582"/>
          <a:ext cx="1270909" cy="547006"/>
        </a:xfrm>
        <a:prstGeom prst="roundRect">
          <a:avLst>
            <a:gd name="adj" fmla="val 47619"/>
          </a:avLst>
        </a:prstGeom>
        <a:gradFill flip="none" rotWithShape="1">
          <a:gsLst>
            <a:gs pos="0">
              <a:schemeClr val="accent5">
                <a:lumMod val="75000"/>
                <a:shade val="30000"/>
                <a:satMod val="115000"/>
              </a:schemeClr>
            </a:gs>
            <a:gs pos="50000">
              <a:schemeClr val="accent5">
                <a:lumMod val="75000"/>
                <a:shade val="67500"/>
                <a:satMod val="115000"/>
              </a:schemeClr>
            </a:gs>
            <a:gs pos="100000">
              <a:schemeClr val="accent5">
                <a:lumMod val="75000"/>
                <a:shade val="100000"/>
                <a:satMod val="115000"/>
              </a:schemeClr>
            </a:gs>
          </a:gsLst>
          <a:lin ang="2700000" scaled="1"/>
          <a:tileRect/>
        </a:gra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2000" b="1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HP Simplified" panose="020B0606020204020204" pitchFamily="34" charset="0"/>
              <a:ea typeface="+mn-ea"/>
              <a:cs typeface="+mn-cs"/>
            </a:rPr>
            <a:t>Sair</a:t>
          </a:r>
          <a:endParaRPr kumimoji="0" lang="pt-BR" sz="1100" b="1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HP Simplified" panose="020B0606020204020204" pitchFamily="34" charset="0"/>
            <a:ea typeface="+mn-ea"/>
            <a:cs typeface="+mn-cs"/>
          </a:endParaRP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387969</xdr:colOff>
      <xdr:row>1</xdr:row>
      <xdr:rowOff>180213</xdr:rowOff>
    </xdr:from>
    <xdr:to>
      <xdr:col>3</xdr:col>
      <xdr:colOff>499481</xdr:colOff>
      <xdr:row>5</xdr:row>
      <xdr:rowOff>81311</xdr:rowOff>
    </xdr:to>
    <xdr:sp macro="" textlink="">
      <xdr:nvSpPr>
        <xdr:cNvPr id="23" name="CaixaDeTexto 22"/>
        <xdr:cNvSpPr txBox="1"/>
      </xdr:nvSpPr>
      <xdr:spPr>
        <a:xfrm>
          <a:off x="387969" y="366067"/>
          <a:ext cx="1923585" cy="6445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2800" b="1" i="1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HP Simplified" panose="020B0606020204020204" pitchFamily="34" charset="0"/>
              <a:ea typeface="+mn-ea"/>
              <a:cs typeface="+mn-cs"/>
            </a:rPr>
            <a:t>João Dash</a:t>
          </a:r>
          <a:endParaRPr kumimoji="0" lang="pt-BR" sz="1400" b="1" i="1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HP Simplified" panose="020B0606020204020204" pitchFamily="34" charset="0"/>
            <a:ea typeface="+mn-ea"/>
            <a:cs typeface="+mn-cs"/>
          </a:endParaRPr>
        </a:p>
        <a:p>
          <a:endParaRPr lang="pt-BR" sz="1400"/>
        </a:p>
      </xdr:txBody>
    </xdr:sp>
    <xdr:clientData/>
  </xdr:twoCellAnchor>
  <xdr:twoCellAnchor>
    <xdr:from>
      <xdr:col>3</xdr:col>
      <xdr:colOff>182232</xdr:colOff>
      <xdr:row>6</xdr:row>
      <xdr:rowOff>81312</xdr:rowOff>
    </xdr:from>
    <xdr:to>
      <xdr:col>5</xdr:col>
      <xdr:colOff>557560</xdr:colOff>
      <xdr:row>12</xdr:row>
      <xdr:rowOff>69696</xdr:rowOff>
    </xdr:to>
    <xdr:sp macro="" textlink="">
      <xdr:nvSpPr>
        <xdr:cNvPr id="41" name="Retângulo Arredondado 40"/>
        <xdr:cNvSpPr/>
      </xdr:nvSpPr>
      <xdr:spPr>
        <a:xfrm>
          <a:off x="1994305" y="1196434"/>
          <a:ext cx="1583377" cy="1103506"/>
        </a:xfrm>
        <a:prstGeom prst="roundRect">
          <a:avLst>
            <a:gd name="adj" fmla="val 41954"/>
          </a:avLst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285750</xdr:colOff>
      <xdr:row>9</xdr:row>
      <xdr:rowOff>34849</xdr:rowOff>
    </xdr:from>
    <xdr:to>
      <xdr:col>5</xdr:col>
      <xdr:colOff>406554</xdr:colOff>
      <xdr:row>11</xdr:row>
      <xdr:rowOff>69696</xdr:rowOff>
    </xdr:to>
    <xdr:sp macro="" textlink="">
      <xdr:nvSpPr>
        <xdr:cNvPr id="42" name="CaixaDeTexto 41"/>
        <xdr:cNvSpPr txBox="1"/>
      </xdr:nvSpPr>
      <xdr:spPr>
        <a:xfrm>
          <a:off x="2114550" y="1749349"/>
          <a:ext cx="1340004" cy="41584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/>
            <a:t> </a:t>
          </a:r>
        </a:p>
      </xdr:txBody>
    </xdr:sp>
    <xdr:clientData/>
  </xdr:twoCellAnchor>
  <xdr:twoCellAnchor>
    <xdr:from>
      <xdr:col>3</xdr:col>
      <xdr:colOff>325243</xdr:colOff>
      <xdr:row>7</xdr:row>
      <xdr:rowOff>116158</xdr:rowOff>
    </xdr:from>
    <xdr:to>
      <xdr:col>5</xdr:col>
      <xdr:colOff>441401</xdr:colOff>
      <xdr:row>8</xdr:row>
      <xdr:rowOff>174237</xdr:rowOff>
    </xdr:to>
    <xdr:sp macro="" textlink="">
      <xdr:nvSpPr>
        <xdr:cNvPr id="44" name="CaixaDeTexto 43"/>
        <xdr:cNvSpPr txBox="1"/>
      </xdr:nvSpPr>
      <xdr:spPr>
        <a:xfrm>
          <a:off x="2137316" y="1417134"/>
          <a:ext cx="1324207" cy="243932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 b="1" u="none">
              <a:solidFill>
                <a:schemeClr val="tx1">
                  <a:lumMod val="65000"/>
                  <a:lumOff val="35000"/>
                </a:schemeClr>
              </a:solidFill>
              <a:latin typeface="HP Simplified" panose="020B0606020204020204" pitchFamily="34" charset="0"/>
            </a:rPr>
            <a:t>Valores</a:t>
          </a:r>
          <a:r>
            <a:rPr lang="pt-BR" sz="1400" baseline="0">
              <a:solidFill>
                <a:schemeClr val="tx1">
                  <a:lumMod val="65000"/>
                  <a:lumOff val="35000"/>
                </a:schemeClr>
              </a:solidFill>
              <a:latin typeface="HP Simplified" panose="020B0606020204020204" pitchFamily="34" charset="0"/>
            </a:rPr>
            <a:t> </a:t>
          </a:r>
          <a:r>
            <a:rPr lang="pt-BR" sz="1400" b="1" u="none" baseline="0">
              <a:solidFill>
                <a:schemeClr val="tx1">
                  <a:lumMod val="65000"/>
                  <a:lumOff val="35000"/>
                </a:schemeClr>
              </a:solidFill>
              <a:latin typeface="HP Simplified" panose="020B0606020204020204" pitchFamily="34" charset="0"/>
            </a:rPr>
            <a:t>Totais</a:t>
          </a:r>
          <a:endParaRPr lang="pt-BR" sz="1400" b="1" u="none">
            <a:solidFill>
              <a:schemeClr val="tx1">
                <a:lumMod val="65000"/>
                <a:lumOff val="35000"/>
              </a:schemeClr>
            </a:solidFill>
            <a:latin typeface="HP Simplified" panose="020B0606020204020204" pitchFamily="34" charset="0"/>
          </a:endParaRPr>
        </a:p>
      </xdr:txBody>
    </xdr:sp>
    <xdr:clientData/>
  </xdr:twoCellAnchor>
  <xdr:twoCellAnchor editAs="oneCell">
    <xdr:from>
      <xdr:col>4</xdr:col>
      <xdr:colOff>58079</xdr:colOff>
      <xdr:row>15</xdr:row>
      <xdr:rowOff>127775</xdr:rowOff>
    </xdr:from>
    <xdr:to>
      <xdr:col>4</xdr:col>
      <xdr:colOff>577375</xdr:colOff>
      <xdr:row>18</xdr:row>
      <xdr:rowOff>34847</xdr:rowOff>
    </xdr:to>
    <xdr:pic>
      <xdr:nvPicPr>
        <xdr:cNvPr id="47" name="Imagem 46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4177" y="2915580"/>
          <a:ext cx="519296" cy="464633"/>
        </a:xfrm>
        <a:prstGeom prst="rect">
          <a:avLst/>
        </a:prstGeom>
      </xdr:spPr>
    </xdr:pic>
    <xdr:clientData/>
  </xdr:twoCellAnchor>
  <xdr:twoCellAnchor editAs="oneCell">
    <xdr:from>
      <xdr:col>4</xdr:col>
      <xdr:colOff>174237</xdr:colOff>
      <xdr:row>18</xdr:row>
      <xdr:rowOff>128858</xdr:rowOff>
    </xdr:from>
    <xdr:to>
      <xdr:col>4</xdr:col>
      <xdr:colOff>596900</xdr:colOff>
      <xdr:row>20</xdr:row>
      <xdr:rowOff>178237</xdr:rowOff>
    </xdr:to>
    <xdr:pic>
      <xdr:nvPicPr>
        <xdr:cNvPr id="49" name="Imagem 48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6545" y="3645781"/>
          <a:ext cx="422663" cy="440148"/>
        </a:xfrm>
        <a:prstGeom prst="rect">
          <a:avLst/>
        </a:prstGeom>
      </xdr:spPr>
    </xdr:pic>
    <xdr:clientData/>
  </xdr:twoCellAnchor>
  <xdr:twoCellAnchor editAs="oneCell">
    <xdr:from>
      <xdr:col>0</xdr:col>
      <xdr:colOff>545945</xdr:colOff>
      <xdr:row>6</xdr:row>
      <xdr:rowOff>139390</xdr:rowOff>
    </xdr:from>
    <xdr:to>
      <xdr:col>2</xdr:col>
      <xdr:colOff>423746</xdr:colOff>
      <xdr:row>11</xdr:row>
      <xdr:rowOff>181672</xdr:rowOff>
    </xdr:to>
    <xdr:pic>
      <xdr:nvPicPr>
        <xdr:cNvPr id="48" name="Imagem 47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5945" y="1254512"/>
          <a:ext cx="1085850" cy="971550"/>
        </a:xfrm>
        <a:prstGeom prst="rect">
          <a:avLst/>
        </a:prstGeom>
      </xdr:spPr>
    </xdr:pic>
    <xdr:clientData/>
  </xdr:twoCellAnchor>
  <xdr:twoCellAnchor>
    <xdr:from>
      <xdr:col>4</xdr:col>
      <xdr:colOff>156799</xdr:colOff>
      <xdr:row>2</xdr:row>
      <xdr:rowOff>16368</xdr:rowOff>
    </xdr:from>
    <xdr:to>
      <xdr:col>5</xdr:col>
      <xdr:colOff>509475</xdr:colOff>
      <xdr:row>3</xdr:row>
      <xdr:rowOff>155058</xdr:rowOff>
    </xdr:to>
    <xdr:sp macro="[0]!atualizandoDashboard" textlink="">
      <xdr:nvSpPr>
        <xdr:cNvPr id="30" name="Retângulo Arredondado 29"/>
        <xdr:cNvSpPr/>
      </xdr:nvSpPr>
      <xdr:spPr>
        <a:xfrm>
          <a:off x="2593427" y="392938"/>
          <a:ext cx="961833" cy="326975"/>
        </a:xfrm>
        <a:prstGeom prst="roundRect">
          <a:avLst>
            <a:gd name="adj" fmla="val 47619"/>
          </a:avLst>
        </a:prstGeom>
        <a:gradFill flip="none" rotWithShape="1">
          <a:gsLst>
            <a:gs pos="0">
              <a:srgbClr val="0099FF">
                <a:shade val="30000"/>
                <a:satMod val="115000"/>
              </a:srgbClr>
            </a:gs>
            <a:gs pos="50000">
              <a:srgbClr val="0099FF">
                <a:shade val="67500"/>
                <a:satMod val="115000"/>
              </a:srgbClr>
            </a:gs>
            <a:gs pos="100000">
              <a:srgbClr val="0099FF">
                <a:shade val="100000"/>
                <a:satMod val="115000"/>
              </a:srgbClr>
            </a:gs>
          </a:gsLst>
          <a:lin ang="0" scaled="1"/>
          <a:tileRect/>
        </a:gra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HP Simplified" panose="020B0606020204020204" pitchFamily="34" charset="0"/>
              <a:ea typeface="+mn-ea"/>
              <a:cs typeface="+mn-cs"/>
            </a:rPr>
            <a:t>Atualizar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1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HP Simplified" panose="020B0606020204020204" pitchFamily="34" charset="0"/>
            <a:ea typeface="+mn-ea"/>
            <a:cs typeface="+mn-cs"/>
          </a:endParaRPr>
        </a:p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342900</xdr:colOff>
      <xdr:row>29</xdr:row>
      <xdr:rowOff>12700</xdr:rowOff>
    </xdr:from>
    <xdr:to>
      <xdr:col>2</xdr:col>
      <xdr:colOff>139700</xdr:colOff>
      <xdr:row>31</xdr:row>
      <xdr:rowOff>38100</xdr:rowOff>
    </xdr:to>
    <xdr:pic>
      <xdr:nvPicPr>
        <xdr:cNvPr id="2" name="Imagem 1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0" y="5537200"/>
          <a:ext cx="406400" cy="406400"/>
        </a:xfrm>
        <a:prstGeom prst="rect">
          <a:avLst/>
        </a:prstGeom>
      </xdr:spPr>
    </xdr:pic>
    <xdr:clientData/>
  </xdr:twoCellAnchor>
  <xdr:twoCellAnchor>
    <xdr:from>
      <xdr:col>7</xdr:col>
      <xdr:colOff>571500</xdr:colOff>
      <xdr:row>2</xdr:row>
      <xdr:rowOff>190499</xdr:rowOff>
    </xdr:from>
    <xdr:to>
      <xdr:col>22</xdr:col>
      <xdr:colOff>557893</xdr:colOff>
      <xdr:row>29</xdr:row>
      <xdr:rowOff>136070</xdr:rowOff>
    </xdr:to>
    <xdr:graphicFrame macro="">
      <xdr:nvGraphicFramePr>
        <xdr:cNvPr id="29" name="Gráfico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394607</xdr:colOff>
      <xdr:row>2</xdr:row>
      <xdr:rowOff>50870</xdr:rowOff>
    </xdr:from>
    <xdr:to>
      <xdr:col>31</xdr:col>
      <xdr:colOff>598715</xdr:colOff>
      <xdr:row>17</xdr:row>
      <xdr:rowOff>163286</xdr:rowOff>
    </xdr:to>
    <xdr:sp macro="" textlink="">
      <xdr:nvSpPr>
        <xdr:cNvPr id="34" name="Retângulo Arredondado 5"/>
        <xdr:cNvSpPr/>
      </xdr:nvSpPr>
      <xdr:spPr>
        <a:xfrm>
          <a:off x="15090321" y="431870"/>
          <a:ext cx="4490358" cy="2969916"/>
        </a:xfrm>
        <a:prstGeom prst="roundRect">
          <a:avLst>
            <a:gd name="adj" fmla="val 11950"/>
          </a:avLst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ables/table1.xml><?xml version="1.0" encoding="utf-8"?>
<table xmlns="http://schemas.openxmlformats.org/spreadsheetml/2006/main" id="3" name="Tabela3" displayName="Tabela3" ref="B4:E6" totalsRowShown="0">
  <autoFilter ref="B4:E6"/>
  <tableColumns count="4">
    <tableColumn id="1" name="Data"/>
    <tableColumn id="2" name="Descricao"/>
    <tableColumn id="3" name="Valor"/>
    <tableColumn id="4" name="Saldo" dataDxfId="36">
      <calculatedColumnFormula>SUM(E4+D4)</calculatedColumnFormula>
    </tableColumn>
  </tableColumns>
  <tableStyleInfo name="TableStyleMedium25" showFirstColumn="0" showLastColumn="0" showRowStripes="1" showColumnStripes="0"/>
</table>
</file>

<file path=xl/tables/table2.xml><?xml version="1.0" encoding="utf-8"?>
<table xmlns="http://schemas.openxmlformats.org/spreadsheetml/2006/main" id="4" name="Tabela35" displayName="Tabela35" ref="G4:J6" totalsRowShown="0">
  <autoFilter ref="G4:J6"/>
  <tableColumns count="4">
    <tableColumn id="1" name="Data"/>
    <tableColumn id="2" name="Descricao"/>
    <tableColumn id="3" name="Valor"/>
    <tableColumn id="4" name="Saldo" dataDxfId="35">
      <calculatedColumnFormula>SUM(J4+I4)</calculatedColumnFormula>
    </tableColumn>
  </tableColumns>
  <tableStyleInfo name="TableStyleMedium25" showFirstColumn="0" showLastColumn="0" showRowStripes="1" showColumnStripes="0"/>
</table>
</file>

<file path=xl/tables/table3.xml><?xml version="1.0" encoding="utf-8"?>
<table xmlns="http://schemas.openxmlformats.org/spreadsheetml/2006/main" id="5" name="Tabela36" displayName="Tabela36" ref="L4:O6" totalsRowShown="0">
  <autoFilter ref="L4:O6"/>
  <tableColumns count="4">
    <tableColumn id="1" name="Data"/>
    <tableColumn id="2" name="Descricao"/>
    <tableColumn id="3" name="Valor"/>
    <tableColumn id="4" name="Saldo" dataDxfId="34">
      <calculatedColumnFormula>SUM(O4+N4)</calculatedColumnFormula>
    </tableColumn>
  </tableColumns>
  <tableStyleInfo name="TableStyleMedium25" showFirstColumn="0" showLastColumn="0" showRowStripes="1" showColumnStripes="0"/>
</table>
</file>

<file path=xl/tables/table4.xml><?xml version="1.0" encoding="utf-8"?>
<table xmlns="http://schemas.openxmlformats.org/spreadsheetml/2006/main" id="6" name="Tabela37" displayName="Tabela37" ref="Q4:T6" totalsRowShown="0">
  <autoFilter ref="Q4:T6"/>
  <tableColumns count="4">
    <tableColumn id="1" name="Data"/>
    <tableColumn id="2" name="Descricao"/>
    <tableColumn id="3" name="Valor"/>
    <tableColumn id="4" name="Saldo" dataDxfId="33">
      <calculatedColumnFormula>SUM(T4+S4)</calculatedColumnFormula>
    </tableColumn>
  </tableColumns>
  <tableStyleInfo name="TableStyleMedium25" showFirstColumn="0" showLastColumn="0" showRowStripes="1" showColumnStripes="0"/>
</table>
</file>

<file path=xl/tables/table5.xml><?xml version="1.0" encoding="utf-8"?>
<table xmlns="http://schemas.openxmlformats.org/spreadsheetml/2006/main" id="2" name="Tabela2" displayName="Tabela2" ref="A1:I13" totalsRowShown="0" headerRowDxfId="32" dataDxfId="31" tableBorderDxfId="30">
  <autoFilter ref="A1:I13"/>
  <tableColumns count="9">
    <tableColumn id="1" name="ID" dataDxfId="29"/>
    <tableColumn id="2" name="Ano" dataDxfId="28"/>
    <tableColumn id="3" name="Mês" dataDxfId="27"/>
    <tableColumn id="4" name="Dia" dataDxfId="26"/>
    <tableColumn id="5" name="Descricao" dataDxfId="25"/>
    <tableColumn id="6" name="Tipo" dataDxfId="24" dataCellStyle="Moeda"/>
    <tableColumn id="7" name="Valor" dataDxfId="23" dataCellStyle="Moeda"/>
    <tableColumn id="8" name="Saldo" dataDxfId="22" dataCellStyle="Moeda"/>
    <tableColumn id="9" name="14" dataDxfId="21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8" name="Tabela9" displayName="Tabela9" ref="K4:V5" totalsRowShown="0" headerRowDxfId="20" dataDxfId="18" headerRowBorderDxfId="19" tableBorderDxfId="17" totalsRowBorderDxfId="16" dataCellStyle="Moeda">
  <autoFilter ref="K4:V5"/>
  <tableColumns count="12">
    <tableColumn id="1" name="Anos" dataDxfId="15" dataCellStyle="Moeda"/>
    <tableColumn id="11" name="Mês" dataDxfId="14" dataCellStyle="Moeda"/>
    <tableColumn id="2" name="Bens" dataDxfId="13" dataCellStyle="Moeda">
      <calculatedColumnFormula>SUMIFS(Tabela2[Valor],Tabela2[Ano],$K5,Tabela2[Mês],Tabela9[Mês],Tabela2[Tipo],$M$4)</calculatedColumnFormula>
    </tableColumn>
    <tableColumn id="3" name="Lazer" dataDxfId="12" dataCellStyle="Moeda">
      <calculatedColumnFormula>SUMIFS(Tabela2[Valor],Tabela2[Ano],$K5,Tabela2[Mês],Tabela9[Mês],Tabela2[Tipo],$N$4)</calculatedColumnFormula>
    </tableColumn>
    <tableColumn id="14" name="Academia" dataDxfId="11" dataCellStyle="Moeda">
      <calculatedColumnFormula>SUMIFS(Tabela2[Valor],Tabela2[Ano],$K5,Tabela2[Mês],Tabela9[Mês],Tabela2[Tipo],$O$4)</calculatedColumnFormula>
    </tableColumn>
    <tableColumn id="4" name="Alimentação" dataDxfId="10" dataCellStyle="Moeda">
      <calculatedColumnFormula>SUMIFS(Tabela2[Valor],Tabela2[Ano],$K5,Tabela2[Mês],Tabela9[Mês],Tabela2[Tipo],$P$4)</calculatedColumnFormula>
    </tableColumn>
    <tableColumn id="5" name="Cabelo" dataDxfId="9" dataCellStyle="Moeda">
      <calculatedColumnFormula>SUMIFS(Tabela2[Valor],Tabela2[Ano],$K5,Tabela2[Mês],Tabela9[Mês],Tabela2[Tipo],$Q$4)</calculatedColumnFormula>
    </tableColumn>
    <tableColumn id="6" name="DIzimo" dataDxfId="8" dataCellStyle="Moeda">
      <calculatedColumnFormula>SUMIFS(Tabela2[Valor],Tabela2[Ano],$K5,Tabela2[Mês],Tabela9[Mês],Tabela2[Tipo],$R$4)</calculatedColumnFormula>
    </tableColumn>
    <tableColumn id="7" name="Entradas" dataDxfId="7" dataCellStyle="Moeda">
      <calculatedColumnFormula>SUMIFS(Tabela2[Valor],Tabela2[Ano],$K5,Tabela2[Mês],Tabela9[Mês],Tabela2[Tipo],$S$4)</calculatedColumnFormula>
    </tableColumn>
    <tableColumn id="8" name="Outros" dataDxfId="6" dataCellStyle="Moeda">
      <calculatedColumnFormula>SUMIFS(Tabela2[Valor],Tabela2[Ano],$K5,Tabela2[Mês],Tabela9[Mês],Tabela2[Tipo],$T$4)</calculatedColumnFormula>
    </tableColumn>
    <tableColumn id="9" name="Racão" dataDxfId="5" dataCellStyle="Moeda">
      <calculatedColumnFormula>SUMIFS(Tabela2[Valor],Tabela2[Ano],$K5,Tabela2[Mês],Tabela9[Mês],Tabela2[Tipo],$U$4)</calculatedColumnFormula>
    </tableColumn>
    <tableColumn id="10" name="Total Gasto" dataDxfId="4" dataCellStyle="Moeda">
      <calculatedColumnFormula>SUM(M5:R5,T5:U5)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"/>
  <sheetViews>
    <sheetView workbookViewId="0">
      <selection activeCell="B3" sqref="B3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"/>
  <sheetViews>
    <sheetView showGridLines="0" showRowColHeaders="0" tabSelected="1" zoomScale="70" zoomScaleNormal="70" workbookViewId="0"/>
  </sheetViews>
  <sheetFormatPr defaultRowHeight="15" x14ac:dyDescent="0.25"/>
  <cols>
    <col min="1" max="16384" width="9.140625" style="2"/>
  </cols>
  <sheetData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3:O7"/>
  <sheetViews>
    <sheetView workbookViewId="0">
      <selection activeCell="L7" sqref="L7"/>
    </sheetView>
  </sheetViews>
  <sheetFormatPr defaultRowHeight="15" x14ac:dyDescent="0.25"/>
  <cols>
    <col min="1" max="1" width="11.28515625" bestFit="1" customWidth="1"/>
    <col min="2" max="2" width="10.7109375" bestFit="1" customWidth="1"/>
    <col min="3" max="3" width="22.28515625" bestFit="1" customWidth="1"/>
    <col min="4" max="4" width="3.42578125" customWidth="1"/>
    <col min="5" max="5" width="10.7109375" bestFit="1" customWidth="1"/>
    <col min="6" max="6" width="19.42578125" bestFit="1" customWidth="1"/>
    <col min="7" max="7" width="3.140625" customWidth="1"/>
    <col min="8" max="8" width="10.7109375" bestFit="1" customWidth="1"/>
    <col min="9" max="9" width="19.42578125" bestFit="1" customWidth="1"/>
    <col min="10" max="10" width="3.28515625" customWidth="1"/>
    <col min="11" max="11" width="10.7109375" bestFit="1" customWidth="1"/>
    <col min="12" max="12" width="19.42578125" bestFit="1" customWidth="1"/>
    <col min="13" max="13" width="2.7109375" customWidth="1"/>
    <col min="14" max="14" width="10.7109375" bestFit="1" customWidth="1"/>
    <col min="15" max="15" width="19.42578125" bestFit="1" customWidth="1"/>
  </cols>
  <sheetData>
    <row r="3" spans="1:15" x14ac:dyDescent="0.25">
      <c r="B3" s="22" t="s">
        <v>3</v>
      </c>
      <c r="C3" s="22"/>
      <c r="E3" s="22" t="s">
        <v>5</v>
      </c>
      <c r="F3" s="22"/>
      <c r="H3" s="22" t="s">
        <v>4</v>
      </c>
      <c r="I3" s="22"/>
      <c r="K3" s="22" t="s">
        <v>31</v>
      </c>
      <c r="L3" s="22"/>
      <c r="N3" s="22" t="s">
        <v>33</v>
      </c>
      <c r="O3" s="22"/>
    </row>
    <row r="4" spans="1:15" x14ac:dyDescent="0.25">
      <c r="B4" t="s">
        <v>30</v>
      </c>
      <c r="C4" t="s">
        <v>32</v>
      </c>
      <c r="E4" t="s">
        <v>30</v>
      </c>
      <c r="F4" t="s">
        <v>32</v>
      </c>
      <c r="H4" t="s">
        <v>30</v>
      </c>
      <c r="I4" t="s">
        <v>32</v>
      </c>
      <c r="K4" t="s">
        <v>30</v>
      </c>
      <c r="L4" t="s">
        <v>32</v>
      </c>
      <c r="N4" t="s">
        <v>30</v>
      </c>
      <c r="O4" t="s">
        <v>32</v>
      </c>
    </row>
    <row r="5" spans="1:15" x14ac:dyDescent="0.25">
      <c r="B5" s="21">
        <v>44561</v>
      </c>
      <c r="C5" s="1">
        <v>51</v>
      </c>
      <c r="E5" s="21">
        <v>44561</v>
      </c>
      <c r="F5" s="1">
        <v>0</v>
      </c>
      <c r="H5" s="21">
        <v>44561</v>
      </c>
      <c r="I5" s="1">
        <v>160</v>
      </c>
      <c r="K5" s="21">
        <v>44561</v>
      </c>
      <c r="L5" s="1">
        <v>57</v>
      </c>
      <c r="N5" s="21">
        <v>44561</v>
      </c>
      <c r="O5" s="1">
        <v>0</v>
      </c>
    </row>
    <row r="6" spans="1:15" x14ac:dyDescent="0.25">
      <c r="A6" t="s">
        <v>50</v>
      </c>
      <c r="B6" s="21">
        <v>44562</v>
      </c>
      <c r="C6" s="1">
        <v>652</v>
      </c>
      <c r="E6" s="21">
        <v>44562</v>
      </c>
      <c r="F6" s="1">
        <v>0</v>
      </c>
      <c r="H6" s="21">
        <v>44562</v>
      </c>
      <c r="I6" s="1">
        <v>200</v>
      </c>
      <c r="K6" s="21">
        <v>44562</v>
      </c>
      <c r="L6" s="1">
        <v>567.45000000000005</v>
      </c>
      <c r="N6" s="21">
        <v>44562</v>
      </c>
    </row>
    <row r="7" spans="1:15" x14ac:dyDescent="0.25">
      <c r="F7" s="1"/>
    </row>
  </sheetData>
  <mergeCells count="5">
    <mergeCell ref="B3:C3"/>
    <mergeCell ref="E3:F3"/>
    <mergeCell ref="H3:I3"/>
    <mergeCell ref="K3:L3"/>
    <mergeCell ref="N3:O3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T6"/>
  <sheetViews>
    <sheetView workbookViewId="0">
      <selection activeCell="J6" sqref="J6"/>
    </sheetView>
  </sheetViews>
  <sheetFormatPr defaultRowHeight="15" x14ac:dyDescent="0.25"/>
  <cols>
    <col min="2" max="2" width="10.7109375" bestFit="1" customWidth="1"/>
    <col min="3" max="3" width="13.85546875" bestFit="1" customWidth="1"/>
    <col min="4" max="5" width="12.140625" bestFit="1" customWidth="1"/>
    <col min="6" max="6" width="4" customWidth="1"/>
    <col min="7" max="7" width="10.7109375" bestFit="1" customWidth="1"/>
    <col min="8" max="8" width="13.85546875" bestFit="1" customWidth="1"/>
    <col min="9" max="10" width="12.140625" bestFit="1" customWidth="1"/>
    <col min="11" max="11" width="3" customWidth="1"/>
    <col min="12" max="12" width="10.7109375" bestFit="1" customWidth="1"/>
    <col min="13" max="13" width="13.85546875" bestFit="1" customWidth="1"/>
    <col min="14" max="15" width="12.140625" bestFit="1" customWidth="1"/>
    <col min="16" max="16" width="4" customWidth="1"/>
    <col min="17" max="17" width="10.7109375" bestFit="1" customWidth="1"/>
    <col min="18" max="18" width="13.85546875" bestFit="1" customWidth="1"/>
    <col min="19" max="20" width="12.140625" bestFit="1" customWidth="1"/>
  </cols>
  <sheetData>
    <row r="2" spans="2:20" x14ac:dyDescent="0.25">
      <c r="B2" s="22" t="s">
        <v>34</v>
      </c>
      <c r="C2" s="22"/>
    </row>
    <row r="3" spans="2:20" x14ac:dyDescent="0.25">
      <c r="B3" s="22" t="s">
        <v>36</v>
      </c>
      <c r="C3" s="22"/>
      <c r="D3" s="22"/>
      <c r="E3" s="22"/>
      <c r="G3" s="22" t="s">
        <v>37</v>
      </c>
      <c r="H3" s="22"/>
      <c r="I3" s="22"/>
      <c r="J3" s="22"/>
      <c r="L3" s="22" t="s">
        <v>38</v>
      </c>
      <c r="M3" s="22"/>
      <c r="N3" s="22"/>
      <c r="O3" s="22"/>
      <c r="Q3" s="22" t="s">
        <v>39</v>
      </c>
      <c r="R3" s="22"/>
      <c r="S3" s="22"/>
      <c r="T3" s="22"/>
    </row>
    <row r="4" spans="2:20" x14ac:dyDescent="0.25">
      <c r="B4" t="s">
        <v>30</v>
      </c>
      <c r="C4" t="s">
        <v>28</v>
      </c>
      <c r="D4" t="s">
        <v>25</v>
      </c>
      <c r="E4" t="s">
        <v>26</v>
      </c>
      <c r="G4" t="s">
        <v>30</v>
      </c>
      <c r="H4" t="s">
        <v>28</v>
      </c>
      <c r="I4" t="s">
        <v>25</v>
      </c>
      <c r="J4" t="s">
        <v>26</v>
      </c>
      <c r="L4" t="s">
        <v>30</v>
      </c>
      <c r="M4" t="s">
        <v>28</v>
      </c>
      <c r="N4" t="s">
        <v>25</v>
      </c>
      <c r="O4" t="s">
        <v>26</v>
      </c>
      <c r="Q4" t="s">
        <v>30</v>
      </c>
      <c r="R4" t="s">
        <v>28</v>
      </c>
      <c r="S4" t="s">
        <v>25</v>
      </c>
      <c r="T4" t="s">
        <v>26</v>
      </c>
    </row>
    <row r="5" spans="2:20" x14ac:dyDescent="0.25">
      <c r="B5" s="21">
        <v>44197</v>
      </c>
      <c r="C5" t="s">
        <v>35</v>
      </c>
      <c r="D5" s="1">
        <v>1813.74</v>
      </c>
      <c r="E5" s="9">
        <v>0</v>
      </c>
      <c r="G5" s="21">
        <v>44197</v>
      </c>
      <c r="H5" t="s">
        <v>35</v>
      </c>
      <c r="I5" s="1">
        <v>400</v>
      </c>
      <c r="J5" s="9">
        <v>0</v>
      </c>
      <c r="L5" s="21">
        <v>44197</v>
      </c>
      <c r="M5" t="s">
        <v>35</v>
      </c>
      <c r="N5" s="1">
        <v>160</v>
      </c>
      <c r="O5" s="9">
        <v>0</v>
      </c>
      <c r="Q5" s="21">
        <v>44197</v>
      </c>
      <c r="R5" t="s">
        <v>35</v>
      </c>
      <c r="S5" s="1">
        <v>600</v>
      </c>
      <c r="T5" s="9">
        <v>0</v>
      </c>
    </row>
    <row r="6" spans="2:20" x14ac:dyDescent="0.25">
      <c r="B6" s="21">
        <v>44205</v>
      </c>
      <c r="C6" t="s">
        <v>40</v>
      </c>
      <c r="D6" s="1">
        <v>40</v>
      </c>
      <c r="E6" s="9">
        <f>SUM(E5+D5)</f>
        <v>1813.74</v>
      </c>
      <c r="G6" s="21">
        <v>44205</v>
      </c>
      <c r="H6" t="s">
        <v>40</v>
      </c>
      <c r="I6" s="1">
        <v>200</v>
      </c>
      <c r="J6" s="9">
        <f>SUM(J5+I5)</f>
        <v>400</v>
      </c>
      <c r="L6" s="21">
        <v>44205</v>
      </c>
      <c r="M6" t="s">
        <v>40</v>
      </c>
      <c r="N6" s="1">
        <v>40</v>
      </c>
      <c r="O6" s="9">
        <f>SUM(O5+N5)</f>
        <v>160</v>
      </c>
      <c r="Q6" s="21">
        <v>44205</v>
      </c>
      <c r="R6" t="s">
        <v>40</v>
      </c>
      <c r="S6" s="1">
        <v>100</v>
      </c>
      <c r="T6" s="9">
        <f>SUM(T5+S5)</f>
        <v>600</v>
      </c>
    </row>
  </sheetData>
  <mergeCells count="5">
    <mergeCell ref="B3:E3"/>
    <mergeCell ref="G3:J3"/>
    <mergeCell ref="L3:O3"/>
    <mergeCell ref="Q3:T3"/>
    <mergeCell ref="B2:C2"/>
  </mergeCells>
  <pageMargins left="0.511811024" right="0.511811024" top="0.78740157499999996" bottom="0.78740157499999996" header="0.31496062000000002" footer="0.31496062000000002"/>
  <tableParts count="4">
    <tablePart r:id="rId1"/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V13"/>
  <sheetViews>
    <sheetView topLeftCell="G19" zoomScale="85" zoomScaleNormal="85" workbookViewId="0">
      <selection activeCell="Q11" sqref="Q11"/>
    </sheetView>
  </sheetViews>
  <sheetFormatPr defaultRowHeight="15" x14ac:dyDescent="0.25"/>
  <cols>
    <col min="1" max="1" width="9.140625" style="3"/>
    <col min="2" max="2" width="15" style="3" bestFit="1" customWidth="1"/>
    <col min="3" max="4" width="9.140625" style="3"/>
    <col min="5" max="5" width="24.85546875" style="3" bestFit="1" customWidth="1"/>
    <col min="6" max="6" width="15.5703125" style="1" bestFit="1" customWidth="1"/>
    <col min="7" max="8" width="12.28515625" bestFit="1" customWidth="1"/>
    <col min="9" max="9" width="6.85546875" customWidth="1"/>
    <col min="10" max="10" width="13.5703125" bestFit="1" customWidth="1"/>
    <col min="11" max="11" width="11.85546875" bestFit="1" customWidth="1"/>
    <col min="12" max="12" width="11.42578125" bestFit="1" customWidth="1"/>
    <col min="13" max="13" width="17" customWidth="1"/>
    <col min="14" max="14" width="16.85546875" customWidth="1"/>
    <col min="15" max="15" width="17" bestFit="1" customWidth="1"/>
    <col min="16" max="16" width="12.140625" bestFit="1" customWidth="1"/>
    <col min="17" max="17" width="17.28515625" customWidth="1"/>
    <col min="18" max="18" width="13.7109375" bestFit="1" customWidth="1"/>
    <col min="19" max="19" width="12.140625" bestFit="1" customWidth="1"/>
    <col min="20" max="20" width="14.140625" customWidth="1"/>
    <col min="21" max="22" width="16.140625" bestFit="1" customWidth="1"/>
  </cols>
  <sheetData>
    <row r="1" spans="1:22" x14ac:dyDescent="0.25">
      <c r="A1" s="8" t="s">
        <v>0</v>
      </c>
      <c r="B1" s="8" t="s">
        <v>27</v>
      </c>
      <c r="C1" s="8" t="s">
        <v>2</v>
      </c>
      <c r="D1" s="8" t="s">
        <v>29</v>
      </c>
      <c r="E1" s="8" t="s">
        <v>28</v>
      </c>
      <c r="F1" s="15" t="s">
        <v>15</v>
      </c>
      <c r="G1" s="8" t="s">
        <v>25</v>
      </c>
      <c r="H1" s="8" t="s">
        <v>26</v>
      </c>
      <c r="I1" s="19" t="s">
        <v>53</v>
      </c>
    </row>
    <row r="2" spans="1:22" x14ac:dyDescent="0.25">
      <c r="A2" s="14">
        <v>2</v>
      </c>
      <c r="B2" s="12">
        <v>2022</v>
      </c>
      <c r="C2" s="12" t="s">
        <v>17</v>
      </c>
      <c r="D2" s="12">
        <v>9</v>
      </c>
      <c r="E2" s="12" t="s">
        <v>13</v>
      </c>
      <c r="F2" s="13" t="s">
        <v>49</v>
      </c>
      <c r="G2" s="16">
        <v>1100</v>
      </c>
      <c r="H2" s="16">
        <v>0</v>
      </c>
      <c r="I2" s="3"/>
    </row>
    <row r="3" spans="1:22" ht="15.75" x14ac:dyDescent="0.25">
      <c r="A3" s="14">
        <v>3</v>
      </c>
      <c r="B3" s="12">
        <v>2022</v>
      </c>
      <c r="C3" s="12" t="s">
        <v>17</v>
      </c>
      <c r="D3" s="12">
        <v>9</v>
      </c>
      <c r="E3" s="12" t="s">
        <v>41</v>
      </c>
      <c r="F3" s="13" t="s">
        <v>20</v>
      </c>
      <c r="G3" s="17">
        <v>-100</v>
      </c>
      <c r="H3" s="18">
        <f>SUM(H2-G2)</f>
        <v>-1100</v>
      </c>
      <c r="I3" s="3"/>
      <c r="K3" s="24" t="s">
        <v>6</v>
      </c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</row>
    <row r="4" spans="1:22" x14ac:dyDescent="0.25">
      <c r="A4" s="14">
        <v>4</v>
      </c>
      <c r="B4" s="12">
        <v>2022</v>
      </c>
      <c r="C4" s="12" t="s">
        <v>17</v>
      </c>
      <c r="D4" s="12">
        <v>9</v>
      </c>
      <c r="E4" s="12" t="s">
        <v>42</v>
      </c>
      <c r="F4" s="13" t="s">
        <v>18</v>
      </c>
      <c r="G4" s="17">
        <v>-100</v>
      </c>
      <c r="H4" s="18">
        <f t="shared" ref="H4:H9" si="0">SUM(H3-G3)</f>
        <v>-1000</v>
      </c>
      <c r="I4" s="3"/>
      <c r="K4" s="5" t="s">
        <v>24</v>
      </c>
      <c r="L4" s="5" t="s">
        <v>2</v>
      </c>
      <c r="M4" s="6" t="s">
        <v>7</v>
      </c>
      <c r="N4" s="6" t="s">
        <v>8</v>
      </c>
      <c r="O4" s="6" t="s">
        <v>12</v>
      </c>
      <c r="P4" s="6" t="s">
        <v>9</v>
      </c>
      <c r="Q4" s="6" t="s">
        <v>10</v>
      </c>
      <c r="R4" s="7" t="s">
        <v>22</v>
      </c>
      <c r="S4" s="6" t="s">
        <v>11</v>
      </c>
      <c r="T4" s="6" t="s">
        <v>14</v>
      </c>
      <c r="U4" s="6" t="s">
        <v>16</v>
      </c>
      <c r="V4" s="6" t="s">
        <v>23</v>
      </c>
    </row>
    <row r="5" spans="1:22" x14ac:dyDescent="0.25">
      <c r="A5" s="14">
        <v>5</v>
      </c>
      <c r="B5" s="12">
        <v>2022</v>
      </c>
      <c r="C5" s="12" t="s">
        <v>17</v>
      </c>
      <c r="D5" s="12">
        <v>9</v>
      </c>
      <c r="E5" s="12" t="s">
        <v>43</v>
      </c>
      <c r="F5" s="13" t="s">
        <v>19</v>
      </c>
      <c r="G5" s="17">
        <v>-100</v>
      </c>
      <c r="H5" s="18">
        <f t="shared" si="0"/>
        <v>-900</v>
      </c>
      <c r="I5" s="3"/>
      <c r="K5" s="11">
        <v>2022</v>
      </c>
      <c r="L5" s="11" t="s">
        <v>17</v>
      </c>
      <c r="M5" s="4">
        <f>SUMIFS(Tabela2[Valor],Tabela2[Ano],$K5,Tabela2[Mês],Tabela9[Mês],Tabela2[Tipo],$M$4)</f>
        <v>-42.94</v>
      </c>
      <c r="N5" s="4">
        <f>SUMIFS(Tabela2[Valor],Tabela2[Ano],$K5,Tabela2[Mês],Tabela9[Mês],Tabela2[Tipo],$N$4)</f>
        <v>-33.47</v>
      </c>
      <c r="O5" s="4">
        <f>SUMIFS(Tabela2[Valor],Tabela2[Ano],$K5,Tabela2[Mês],Tabela9[Mês],Tabela2[Tipo],$O$4)</f>
        <v>-118.95</v>
      </c>
      <c r="P5" s="4">
        <f>SUMIFS(Tabela2[Valor],Tabela2[Ano],$K5,Tabela2[Mês],Tabela9[Mês],Tabela2[Tipo],$P$4)</f>
        <v>-100</v>
      </c>
      <c r="Q5" s="4">
        <f>SUMIFS(Tabela2[Valor],Tabela2[Ano],$K5,Tabela2[Mês],Tabela9[Mês],Tabela2[Tipo],$Q$4)</f>
        <v>0</v>
      </c>
      <c r="R5" s="4">
        <f>SUMIFS(Tabela2[Valor],Tabela2[Ano],$K5,Tabela2[Mês],Tabela9[Mês],Tabela2[Tipo],$R$4)</f>
        <v>-154.4</v>
      </c>
      <c r="S5" s="4">
        <f>SUMIFS(Tabela2[Valor],Tabela2[Ano],$K5,Tabela2[Mês],Tabela9[Mês],Tabela2[Tipo],$S$4)</f>
        <v>1100</v>
      </c>
      <c r="T5" s="4">
        <f>SUMIFS(Tabela2[Valor],Tabela2[Ano],$K5,Tabela2[Mês],Tabela9[Mês],Tabela2[Tipo],$T$4)</f>
        <v>-100</v>
      </c>
      <c r="U5" s="4">
        <f>SUMIFS(Tabela2[Valor],Tabela2[Ano],$K5,Tabela2[Mês],Tabela9[Mês],Tabela2[Tipo],$U$4)</f>
        <v>0</v>
      </c>
      <c r="V5" s="10">
        <f>SUM(M5:R5,T5:U5)</f>
        <v>-549.76</v>
      </c>
    </row>
    <row r="6" spans="1:22" x14ac:dyDescent="0.25">
      <c r="A6" s="14">
        <v>6</v>
      </c>
      <c r="B6" s="12">
        <v>2022</v>
      </c>
      <c r="C6" s="12" t="s">
        <v>17</v>
      </c>
      <c r="D6" s="12">
        <v>9</v>
      </c>
      <c r="E6" s="12" t="s">
        <v>44</v>
      </c>
      <c r="F6" s="13" t="s">
        <v>1</v>
      </c>
      <c r="G6" s="17">
        <v>-24.95</v>
      </c>
      <c r="H6" s="18">
        <f t="shared" si="0"/>
        <v>-800</v>
      </c>
      <c r="I6" s="3"/>
    </row>
    <row r="7" spans="1:22" x14ac:dyDescent="0.25">
      <c r="A7" s="14">
        <v>7</v>
      </c>
      <c r="B7" s="12">
        <v>2022</v>
      </c>
      <c r="C7" s="12" t="s">
        <v>17</v>
      </c>
      <c r="D7" s="12">
        <v>9</v>
      </c>
      <c r="E7" s="12" t="s">
        <v>45</v>
      </c>
      <c r="F7" s="13" t="s">
        <v>1</v>
      </c>
      <c r="G7" s="17">
        <v>-17.989999999999998</v>
      </c>
      <c r="H7" s="18">
        <f t="shared" si="0"/>
        <v>-775.05</v>
      </c>
      <c r="I7" s="3"/>
    </row>
    <row r="8" spans="1:22" x14ac:dyDescent="0.25">
      <c r="A8" s="14">
        <v>8</v>
      </c>
      <c r="B8" s="12">
        <v>2022</v>
      </c>
      <c r="C8" s="12" t="s">
        <v>17</v>
      </c>
      <c r="D8" s="12">
        <v>9</v>
      </c>
      <c r="E8" s="12" t="s">
        <v>46</v>
      </c>
      <c r="F8" s="13" t="s">
        <v>21</v>
      </c>
      <c r="G8" s="17">
        <v>-19.97</v>
      </c>
      <c r="H8" s="18">
        <f t="shared" si="0"/>
        <v>-757.06</v>
      </c>
      <c r="I8" s="3"/>
    </row>
    <row r="9" spans="1:22" x14ac:dyDescent="0.25">
      <c r="A9" s="14">
        <v>9</v>
      </c>
      <c r="B9" s="12">
        <v>2022</v>
      </c>
      <c r="C9" s="12" t="s">
        <v>17</v>
      </c>
      <c r="D9" s="12">
        <v>9</v>
      </c>
      <c r="E9" s="12" t="s">
        <v>47</v>
      </c>
      <c r="F9" s="13" t="s">
        <v>48</v>
      </c>
      <c r="G9" s="17">
        <v>-69</v>
      </c>
      <c r="H9" s="18">
        <f t="shared" si="0"/>
        <v>-737.08999999999992</v>
      </c>
      <c r="I9" s="3"/>
    </row>
    <row r="10" spans="1:22" x14ac:dyDescent="0.25">
      <c r="A10" s="14">
        <v>11</v>
      </c>
      <c r="B10" s="12">
        <v>2022</v>
      </c>
      <c r="C10" s="12" t="s">
        <v>17</v>
      </c>
      <c r="D10" s="12">
        <v>10</v>
      </c>
      <c r="E10" s="12" t="s">
        <v>54</v>
      </c>
      <c r="F10" s="13" t="s">
        <v>20</v>
      </c>
      <c r="G10" s="17">
        <v>-54.4</v>
      </c>
      <c r="H10" s="18">
        <f>SUM(H9-G9)</f>
        <v>-668.08999999999992</v>
      </c>
      <c r="I10" s="3"/>
    </row>
    <row r="11" spans="1:22" x14ac:dyDescent="0.25">
      <c r="A11" s="14">
        <v>12</v>
      </c>
      <c r="B11" s="12">
        <v>2022</v>
      </c>
      <c r="C11" s="12" t="s">
        <v>17</v>
      </c>
      <c r="D11" s="12">
        <v>10</v>
      </c>
      <c r="E11" s="12" t="s">
        <v>51</v>
      </c>
      <c r="F11" s="23" t="s">
        <v>21</v>
      </c>
      <c r="G11" s="17">
        <v>-13.5</v>
      </c>
      <c r="H11" s="18"/>
      <c r="I11" s="20"/>
    </row>
    <row r="12" spans="1:22" x14ac:dyDescent="0.25">
      <c r="A12" s="14">
        <v>13</v>
      </c>
      <c r="B12" s="12">
        <v>2022</v>
      </c>
      <c r="C12" s="12" t="s">
        <v>17</v>
      </c>
      <c r="D12" s="12">
        <v>10</v>
      </c>
      <c r="E12" s="12" t="s">
        <v>52</v>
      </c>
      <c r="F12" s="23" t="s">
        <v>48</v>
      </c>
      <c r="G12" s="17">
        <v>-49.95</v>
      </c>
      <c r="H12" s="18"/>
      <c r="I12" s="20"/>
    </row>
    <row r="13" spans="1:22" x14ac:dyDescent="0.25">
      <c r="A13" s="14"/>
      <c r="B13" s="12"/>
      <c r="C13" s="12"/>
      <c r="D13" s="12"/>
      <c r="E13" s="12"/>
      <c r="F13" s="23"/>
      <c r="G13" s="17"/>
      <c r="H13" s="18"/>
      <c r="I13" s="20"/>
    </row>
  </sheetData>
  <mergeCells count="1">
    <mergeCell ref="K3:V3"/>
  </mergeCells>
  <conditionalFormatting sqref="E14:E1048576">
    <cfRule type="cellIs" dxfId="3" priority="1" operator="equal">
      <formula>"LAZER"</formula>
    </cfRule>
    <cfRule type="cellIs" dxfId="2" priority="2" operator="equal">
      <formula>"ALIMENTAÇÃO"</formula>
    </cfRule>
    <cfRule type="cellIs" dxfId="1" priority="3" operator="equal">
      <formula>"OUTROS"</formula>
    </cfRule>
    <cfRule type="cellIs" dxfId="0" priority="4" operator="equal">
      <formula>"BENS"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</vt:i4>
      </vt:variant>
    </vt:vector>
  </HeadingPairs>
  <TitlesOfParts>
    <vt:vector size="6" baseType="lpstr">
      <vt:lpstr>lembretes</vt:lpstr>
      <vt:lpstr>dashBoard</vt:lpstr>
      <vt:lpstr>bancoeValoresParaGasto</vt:lpstr>
      <vt:lpstr>fluxodeReservas</vt:lpstr>
      <vt:lpstr>base</vt:lpstr>
      <vt:lpstr>ID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</dc:creator>
  <cp:lastModifiedBy>JOAO</cp:lastModifiedBy>
  <dcterms:created xsi:type="dcterms:W3CDTF">2021-08-19T22:22:45Z</dcterms:created>
  <dcterms:modified xsi:type="dcterms:W3CDTF">2022-01-11T00:25:40Z</dcterms:modified>
</cp:coreProperties>
</file>