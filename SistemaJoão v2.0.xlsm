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github\Meu-Sistema-VBA\"/>
    </mc:Choice>
  </mc:AlternateContent>
  <bookViews>
    <workbookView xWindow="0" yWindow="0" windowWidth="20490" windowHeight="7650"/>
  </bookViews>
  <sheets>
    <sheet name="dashBoard" sheetId="2" r:id="rId1"/>
    <sheet name="Planilha4" sheetId="5" r:id="rId2"/>
    <sheet name="base" sheetId="1" r:id="rId3"/>
    <sheet name="acumulado" sheetId="3" r:id="rId4"/>
  </sheets>
  <definedNames>
    <definedName name="ID">base!$I$1</definedName>
    <definedName name="SegmentaçãodeDados_Mês">#N/A</definedName>
    <definedName name="SegmentaçãodeDados_Meses">#N/A</definedName>
  </definedNames>
  <calcPr calcId="162913"/>
  <pivotCaches>
    <pivotCache cacheId="22" r:id="rId5"/>
    <pivotCache cacheId="28" r:id="rId6"/>
    <pivotCache cacheId="3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7" i="1" l="1"/>
  <c r="V7" i="1"/>
  <c r="AB7" i="1"/>
  <c r="AC7" i="1"/>
  <c r="X7" i="1"/>
  <c r="Y7" i="1"/>
  <c r="Z7" i="1"/>
  <c r="AA7" i="1"/>
  <c r="D30" i="3"/>
  <c r="D24" i="3"/>
  <c r="AD7" i="1" l="1"/>
  <c r="P7" i="1" s="1"/>
  <c r="Q7" i="1" s="1"/>
  <c r="D21" i="3"/>
  <c r="AC6" i="1" l="1"/>
  <c r="AB6" i="1"/>
  <c r="AA6" i="1"/>
  <c r="Z6" i="1"/>
  <c r="Y6" i="1"/>
  <c r="X6" i="1"/>
  <c r="W6" i="1"/>
  <c r="V6" i="1"/>
  <c r="AC5" i="1"/>
  <c r="AB5" i="1"/>
  <c r="AA5" i="1"/>
  <c r="Z5" i="1"/>
  <c r="Y5" i="1"/>
  <c r="X5" i="1"/>
  <c r="W5" i="1"/>
  <c r="V5" i="1"/>
  <c r="Q4" i="1"/>
  <c r="AD6" i="1" l="1"/>
  <c r="P6" i="1" s="1"/>
  <c r="Q6" i="1" s="1"/>
  <c r="AD5" i="1"/>
  <c r="P5" i="1" s="1"/>
  <c r="Q5" i="1" s="1"/>
</calcChain>
</file>

<file path=xl/sharedStrings.xml><?xml version="1.0" encoding="utf-8"?>
<sst xmlns="http://schemas.openxmlformats.org/spreadsheetml/2006/main" count="236" uniqueCount="128">
  <si>
    <t>ID</t>
  </si>
  <si>
    <t>NOME</t>
  </si>
  <si>
    <t>MÊS</t>
  </si>
  <si>
    <t>DIA</t>
  </si>
  <si>
    <t>TIPO</t>
  </si>
  <si>
    <t>VALOR</t>
  </si>
  <si>
    <t>BENS</t>
  </si>
  <si>
    <t>Locais de Dinheiro</t>
  </si>
  <si>
    <t>Mês</t>
  </si>
  <si>
    <t>Nubank</t>
  </si>
  <si>
    <t>Picpay</t>
  </si>
  <si>
    <t>Next</t>
  </si>
  <si>
    <t>Bradesco</t>
  </si>
  <si>
    <t>Total</t>
  </si>
  <si>
    <t>Julho</t>
  </si>
  <si>
    <t>Agosto</t>
  </si>
  <si>
    <t>Despesas</t>
  </si>
  <si>
    <t>Bens</t>
  </si>
  <si>
    <t>Lazer</t>
  </si>
  <si>
    <t>Alimentação</t>
  </si>
  <si>
    <t>Cabelo</t>
  </si>
  <si>
    <t>Dízimo</t>
  </si>
  <si>
    <t>Entradas</t>
  </si>
  <si>
    <t>Ração</t>
  </si>
  <si>
    <t>Academia</t>
  </si>
  <si>
    <t>Caixa Casa</t>
  </si>
  <si>
    <t>Aposentar</t>
  </si>
  <si>
    <t>Estudos</t>
  </si>
  <si>
    <t>L/Mprazo</t>
  </si>
  <si>
    <t>Salario</t>
  </si>
  <si>
    <t>Sobras</t>
  </si>
  <si>
    <t>Rótulos de Linha</t>
  </si>
  <si>
    <t>Total Geral</t>
  </si>
  <si>
    <t>Junho</t>
  </si>
  <si>
    <t>Outros</t>
  </si>
  <si>
    <t>Frango</t>
  </si>
  <si>
    <t>Livro Clean Code</t>
  </si>
  <si>
    <t>Guarda Chuvas</t>
  </si>
  <si>
    <t>Acumulados</t>
  </si>
  <si>
    <t>Tipo</t>
  </si>
  <si>
    <t>Casa 100</t>
  </si>
  <si>
    <t>Planos de Medio</t>
  </si>
  <si>
    <t>Racão</t>
  </si>
  <si>
    <t>Valores Mês</t>
  </si>
  <si>
    <t>Instituição</t>
  </si>
  <si>
    <t>Chave Pix</t>
  </si>
  <si>
    <t>139176326-24</t>
  </si>
  <si>
    <t>3199868-4340</t>
  </si>
  <si>
    <t>joazinhotito@gmail.com</t>
  </si>
  <si>
    <t>Soma de Valores Mês</t>
  </si>
  <si>
    <t>CABELO</t>
  </si>
  <si>
    <t>ENTRADAS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</si>
  <si>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</si>
  <si>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</si>
  <si>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</si>
  <si>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</si>
  <si>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</si>
  <si>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</si>
  <si>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</si>
  <si>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</si>
  <si>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Maio</t>
  </si>
  <si>
    <t>RACÃO</t>
  </si>
  <si>
    <t>Salário</t>
  </si>
  <si>
    <t>Auxilio Alimetação</t>
  </si>
  <si>
    <t>ALIMENTAÇÃO</t>
  </si>
  <si>
    <t>Reserva da Familia</t>
  </si>
  <si>
    <t>OUTROS</t>
  </si>
  <si>
    <t>Primeiro</t>
  </si>
  <si>
    <t>DIZIMO</t>
  </si>
  <si>
    <t xml:space="preserve">Fone Xiamo Redmi AirDots 2 </t>
  </si>
  <si>
    <t>Doces</t>
  </si>
  <si>
    <t>LAZER</t>
  </si>
  <si>
    <t>Antialérgico Loratadina</t>
  </si>
  <si>
    <t>Sorvete Kider</t>
  </si>
  <si>
    <t>Troque Ração estragada</t>
  </si>
  <si>
    <t>Presente Da Mãe</t>
  </si>
  <si>
    <t>Perlon para Filtro</t>
  </si>
  <si>
    <t>PICPAY</t>
  </si>
  <si>
    <t>NUBANK</t>
  </si>
  <si>
    <t>NEXT</t>
  </si>
  <si>
    <t>BRADESCO</t>
  </si>
  <si>
    <t>CARTEIRA</t>
  </si>
  <si>
    <t>DIzimo</t>
  </si>
  <si>
    <t>DEBITOS</t>
  </si>
  <si>
    <t>Total Gasto</t>
  </si>
  <si>
    <t>Anos</t>
  </si>
  <si>
    <t>SALDO FINAL</t>
  </si>
  <si>
    <t>Soma de Bens</t>
  </si>
  <si>
    <t>Soma de Lazer</t>
  </si>
  <si>
    <t>Soma de Alimentação</t>
  </si>
  <si>
    <t>Soma de Cabelo</t>
  </si>
  <si>
    <t>Soma de DIzimo</t>
  </si>
  <si>
    <t>Soma de Entradas</t>
  </si>
  <si>
    <t>Soma de Outros</t>
  </si>
  <si>
    <t>Soma de Racão</t>
  </si>
  <si>
    <t>Soma de PICPAY</t>
  </si>
  <si>
    <t>Soma de NUBANK</t>
  </si>
  <si>
    <t>01/jul</t>
  </si>
  <si>
    <t>01/ago</t>
  </si>
  <si>
    <t>01/set</t>
  </si>
  <si>
    <t xml:space="preserve">Esfoliante </t>
  </si>
  <si>
    <t>Sabonete Avon Facial</t>
  </si>
  <si>
    <t>Desodorante</t>
  </si>
  <si>
    <t>Protetor Solar</t>
  </si>
  <si>
    <t>Novo chip Vivo</t>
  </si>
  <si>
    <t>Loratadina 4 Caixas</t>
  </si>
  <si>
    <t>Soma de SALDO FINAL</t>
  </si>
  <si>
    <t>Total Soma de PICPAY</t>
  </si>
  <si>
    <t>Total Soma de NUBANK</t>
  </si>
  <si>
    <t>0 Soma de NUBANK</t>
  </si>
  <si>
    <t>0 Soma de PICPAY</t>
  </si>
  <si>
    <t>200 Soma de NUBANK</t>
  </si>
  <si>
    <t>200 Soma de PICPAY</t>
  </si>
  <si>
    <t>(vazio)</t>
  </si>
  <si>
    <t>set</t>
  </si>
  <si>
    <t>(vazio) Soma de NUBANK</t>
  </si>
  <si>
    <t>(vazio) Soma de PICPAY</t>
  </si>
  <si>
    <t>Café</t>
  </si>
  <si>
    <t>Dinheiro do Cabelo PIX Errado</t>
  </si>
  <si>
    <t>Pizza</t>
  </si>
  <si>
    <t>Separação RealTime</t>
  </si>
  <si>
    <t>01/out</t>
  </si>
  <si>
    <t>out</t>
  </si>
  <si>
    <t>Acuçar serviço</t>
  </si>
  <si>
    <t>Alimentação Wands</t>
  </si>
  <si>
    <t>Credito</t>
  </si>
  <si>
    <t>Ajuda de Custo Morador de Rua</t>
  </si>
  <si>
    <t>Churrasco na Tia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</si>
</sst>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</cellStyleXfs>
  <cellXfs count="66">
    <xf numFmtId="0" fontId="0" fillId="0" borderId="0" xfId="0"/>
    <xf numFmtId="0" fontId="0" fillId="2" borderId="0" xfId="0" applyFill="1"/>
    <xf numFmtId="44" fontId="0" fillId="0" borderId="0" xfId="1" applyFont="1"/>
    <xf numFmtId="0" fontId="0" fillId="5" borderId="0" xfId="0" applyFill="1"/>
    <xf numFmtId="0" fontId="0" fillId="0" borderId="0" xfId="0" applyAlignment="1">
      <alignment horizontal="center"/>
    </xf>
    <xf numFmtId="44" fontId="0" fillId="0" borderId="5" xfId="1" applyFont="1" applyBorder="1"/>
    <xf numFmtId="44" fontId="0" fillId="0" borderId="6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4" borderId="3" xfId="3" applyFont="1" applyBorder="1"/>
    <xf numFmtId="0" fontId="4" fillId="4" borderId="10" xfId="3" applyFont="1" applyBorder="1"/>
    <xf numFmtId="0" fontId="4" fillId="4" borderId="11" xfId="3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0" fillId="0" borderId="14" xfId="0" applyBorder="1"/>
    <xf numFmtId="0" fontId="0" fillId="0" borderId="12" xfId="0" applyBorder="1"/>
    <xf numFmtId="17" fontId="0" fillId="0" borderId="18" xfId="0" applyNumberFormat="1" applyBorder="1" applyAlignment="1">
      <alignment horizontal="center"/>
    </xf>
    <xf numFmtId="44" fontId="0" fillId="0" borderId="17" xfId="1" applyFont="1" applyBorder="1"/>
    <xf numFmtId="0" fontId="0" fillId="0" borderId="16" xfId="0" applyBorder="1" applyAlignment="1">
      <alignment horizontal="center"/>
    </xf>
    <xf numFmtId="44" fontId="0" fillId="0" borderId="15" xfId="1" applyFont="1" applyBorder="1"/>
    <xf numFmtId="44" fontId="0" fillId="0" borderId="13" xfId="1" applyFont="1" applyBorder="1"/>
    <xf numFmtId="0" fontId="0" fillId="0" borderId="16" xfId="0" applyBorder="1"/>
    <xf numFmtId="0" fontId="0" fillId="0" borderId="18" xfId="0" applyBorder="1"/>
    <xf numFmtId="44" fontId="5" fillId="0" borderId="17" xfId="1" applyFont="1" applyBorder="1"/>
    <xf numFmtId="44" fontId="5" fillId="0" borderId="15" xfId="1" applyFont="1" applyBorder="1"/>
    <xf numFmtId="44" fontId="5" fillId="0" borderId="5" xfId="1" applyFont="1" applyBorder="1"/>
    <xf numFmtId="44" fontId="5" fillId="0" borderId="21" xfId="1" applyFont="1" applyBorder="1"/>
    <xf numFmtId="0" fontId="0" fillId="0" borderId="0" xfId="0" applyBorder="1"/>
    <xf numFmtId="0" fontId="0" fillId="0" borderId="9" xfId="1" applyNumberFormat="1" applyFont="1" applyBorder="1" applyAlignment="1">
      <alignment horizontal="center"/>
    </xf>
    <xf numFmtId="44" fontId="5" fillId="0" borderId="17" xfId="1" applyNumberFormat="1" applyFont="1" applyBorder="1"/>
    <xf numFmtId="44" fontId="0" fillId="0" borderId="15" xfId="1" applyFont="1" applyBorder="1" applyAlignment="1">
      <alignment horizontal="center"/>
    </xf>
    <xf numFmtId="44" fontId="0" fillId="0" borderId="20" xfId="1" applyFont="1" applyBorder="1" applyAlignment="1">
      <alignment horizontal="center"/>
    </xf>
    <xf numFmtId="0" fontId="5" fillId="0" borderId="5" xfId="1" applyNumberFormat="1" applyFont="1" applyBorder="1" applyAlignment="1">
      <alignment horizontal="center"/>
    </xf>
    <xf numFmtId="0" fontId="5" fillId="0" borderId="19" xfId="1" applyNumberFormat="1" applyFont="1" applyBorder="1" applyAlignment="1">
      <alignment horizont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 indent="4"/>
    </xf>
    <xf numFmtId="0" fontId="0" fillId="6" borderId="24" xfId="0" applyFont="1" applyFill="1" applyBorder="1" applyAlignment="1">
      <alignment horizontal="center"/>
    </xf>
    <xf numFmtId="44" fontId="0" fillId="6" borderId="23" xfId="1" applyNumberFormat="1" applyFont="1" applyFill="1" applyBorder="1"/>
    <xf numFmtId="0" fontId="0" fillId="0" borderId="24" xfId="0" applyFont="1" applyBorder="1" applyAlignment="1">
      <alignment horizontal="center"/>
    </xf>
    <xf numFmtId="44" fontId="0" fillId="0" borderId="23" xfId="1" applyNumberFormat="1" applyFont="1" applyBorder="1"/>
    <xf numFmtId="0" fontId="0" fillId="0" borderId="0" xfId="0" applyAlignment="1">
      <alignment horizontal="left" indent="2"/>
    </xf>
    <xf numFmtId="0" fontId="0" fillId="6" borderId="25" xfId="0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44" fontId="5" fillId="0" borderId="28" xfId="1" applyNumberFormat="1" applyFont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44" fontId="5" fillId="0" borderId="23" xfId="1" applyNumberFormat="1" applyFont="1" applyBorder="1"/>
    <xf numFmtId="0" fontId="4" fillId="4" borderId="30" xfId="3" applyFont="1" applyBorder="1"/>
    <xf numFmtId="0" fontId="4" fillId="4" borderId="1" xfId="3" applyFont="1" applyBorder="1"/>
    <xf numFmtId="44" fontId="4" fillId="4" borderId="4" xfId="1" applyFont="1" applyFill="1" applyBorder="1"/>
    <xf numFmtId="44" fontId="4" fillId="4" borderId="2" xfId="1" applyFont="1" applyFill="1" applyBorder="1"/>
    <xf numFmtId="44" fontId="4" fillId="4" borderId="11" xfId="1" applyFont="1" applyFill="1" applyBorder="1"/>
    <xf numFmtId="44" fontId="4" fillId="4" borderId="31" xfId="1" applyFont="1" applyFill="1" applyBorder="1"/>
    <xf numFmtId="44" fontId="4" fillId="4" borderId="29" xfId="3" applyNumberFormat="1" applyFont="1" applyBorder="1"/>
    <xf numFmtId="44" fontId="5" fillId="0" borderId="5" xfId="1" applyNumberFormat="1" applyFont="1" applyBorder="1"/>
    <xf numFmtId="44" fontId="5" fillId="0" borderId="23" xfId="1" applyFont="1" applyBorder="1"/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3" borderId="30" xfId="2" applyFont="1" applyBorder="1" applyAlignment="1">
      <alignment horizontal="center"/>
    </xf>
    <xf numFmtId="0" fontId="3" fillId="3" borderId="31" xfId="2" applyFont="1" applyBorder="1" applyAlignment="1">
      <alignment horizontal="center"/>
    </xf>
  </cellXfs>
  <cellStyles count="4">
    <cellStyle name="20% - Ênfase2" xfId="3" builtinId="34"/>
    <cellStyle name="Ênfase2" xfId="2" builtinId="33"/>
    <cellStyle name="Moeda" xfId="1" builtinId="4"/>
    <cellStyle name="Normal" xfId="0" builtinId="0"/>
  </cellStyles>
  <dxfs count="57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border diagonalUp="0" diagonalDown="0" outline="0">
        <left style="thin">
          <color theme="1" tint="4.9989318521683403E-2"/>
        </left>
        <right style="thin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 tint="4.9989318521683403E-2"/>
        </left>
        <right/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numFmt numFmtId="22" formatCode="mmm/yy"/>
      <alignment horizontal="center" vertical="bottom" textRotation="0" wrapText="0" indent="0" justifyLastLine="0" shrinkToFit="0" readingOrder="0"/>
      <border diagonalUp="0" diagonalDown="0">
        <left/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  <vertical/>
        <horizontal/>
      </border>
    </dxf>
    <dxf>
      <border outline="0">
        <top style="thin">
          <color theme="1" tint="4.9989318521683403E-2"/>
        </top>
      </border>
    </dxf>
    <dxf>
      <border outline="0">
        <left style="thin">
          <color theme="1" tint="4.9989318521683403E-2"/>
        </left>
        <right style="thin">
          <color theme="1" tint="4.9989318521683403E-2"/>
        </right>
        <top style="thin">
          <color theme="1" tint="4.9989318521683403E-2"/>
        </top>
        <bottom style="thin">
          <color theme="1" tint="4.9989318521683403E-2"/>
        </bottom>
      </border>
    </dxf>
    <dxf>
      <border outline="0">
        <bottom style="thin">
          <color theme="1" tint="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  <vertical/>
        <horizontal/>
      </border>
    </dxf>
    <dxf>
      <border outline="0">
        <bottom style="thin">
          <color theme="8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 tint="-4.9989318521683403E-2"/>
      </font>
      <fill>
        <patternFill patternType="solid">
          <fgColor auto="1"/>
          <bgColor theme="3" tint="0.79998168889431442"/>
        </patternFill>
      </fill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 style="medium">
          <color theme="0" tint="-0.24994659260841701"/>
        </vertical>
        <horizontal style="medium">
          <color theme="0" tint="-0.24994659260841701"/>
        </horizontal>
      </border>
    </dxf>
    <dxf>
      <fill>
        <patternFill>
          <bgColor rgb="FFEAF1FA"/>
        </pattern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medium">
          <color theme="0" tint="-0.34998626667073579"/>
        </diagonal>
        <vertical style="medium">
          <color theme="0" tint="-0.34998626667073579"/>
        </vertical>
        <horizontal style="thick">
          <color theme="0" tint="-0.34998626667073579"/>
        </horizontal>
      </border>
    </dxf>
    <dxf>
      <fill>
        <patternFill>
          <bgColor theme="4" tint="0.79998168889431442"/>
        </patternFill>
      </fill>
      <border diagonalDown="1">
        <left style="thick">
          <color theme="0" tint="-0.24994659260841701"/>
        </left>
        <right style="thick">
          <color theme="0" tint="-0.24994659260841701"/>
        </right>
        <top style="thick">
          <color theme="0" tint="-0.24994659260841701"/>
        </top>
        <bottom style="thick">
          <color theme="0" tint="-0.24994659260841701"/>
        </bottom>
        <diagonal style="thick">
          <color theme="0" tint="-0.24994659260841701"/>
        </diagonal>
        <vertical style="thick">
          <color theme="0" tint="-0.24994659260841701"/>
        </vertical>
        <horizontal style="thick">
          <color theme="0" tint="-0.24994659260841701"/>
        </horizontal>
      </border>
    </dxf>
    <dxf>
      <font>
        <b/>
        <i/>
        <u val="double"/>
        <color theme="2"/>
      </font>
      <fill>
        <gradientFill type="path">
          <stop position="0">
            <color rgb="FFFF9966"/>
          </stop>
          <stop position="1">
            <color theme="9" tint="-0.25098422193060094"/>
          </stop>
        </gradientFill>
      </fill>
      <border diagonalDown="1">
        <left style="medium">
          <color theme="9" tint="-0.499984740745262"/>
        </left>
        <right style="medium">
          <color theme="9" tint="-0.499984740745262"/>
        </right>
        <top style="medium">
          <color theme="9" tint="-0.499984740745262"/>
        </top>
        <bottom style="medium">
          <color theme="9" tint="-0.499984740745262"/>
        </bottom>
        <diagonal style="medium">
          <color theme="9" tint="-0.499984740745262"/>
        </diagonal>
        <vertical style="medium">
          <color theme="9" tint="-0.499984740745262"/>
        </vertical>
        <horizontal style="medium">
          <color theme="9" tint="-0.499984740745262"/>
        </horizontal>
      </border>
    </dxf>
    <dxf>
      <font>
        <color theme="0" tint="-4.9989318521683403E-2"/>
      </font>
      <fill>
        <gradientFill type="path">
          <stop position="0">
            <color rgb="FFFF9966"/>
          </stop>
          <stop position="1">
            <color rgb="FFF24A2E"/>
          </stop>
        </gradientFill>
      </fill>
      <border diagonalDown="1">
        <left style="thick">
          <color theme="0" tint="-0.34998626667073579"/>
        </left>
        <right style="thick">
          <color theme="0" tint="-0.34998626667073579"/>
        </right>
        <top style="thick">
          <color theme="0" tint="-0.34998626667073579"/>
        </top>
        <bottom style="thick">
          <color theme="0" tint="-0.34998626667073579"/>
        </bottom>
        <diagonal style="thick">
          <color theme="0" tint="-0.34998626667073579"/>
        </diagonal>
        <vertical style="thick">
          <color theme="0" tint="-0.34998626667073579"/>
        </vertical>
        <horizontal style="thick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5">
      <tableStyleElement type="headerRow" dxfId="56"/>
      <tableStyleElement type="totalRow" dxfId="55"/>
      <tableStyleElement type="firstRowStripe" dxfId="54"/>
      <tableStyleElement type="secondRowStripe" dxfId="53"/>
      <tableStyleElement type="firstColumnStripe" size="2" dxfId="52"/>
    </tableStyle>
    <tableStyle name="SlicerStyleLight1 2" pivot="0" table="0" count="9">
      <tableStyleElement type="headerRow" dxfId="51"/>
    </tableStyle>
  </tableStyles>
  <colors>
    <mruColors>
      <color rgb="FF0066CC"/>
      <color rgb="FF000066"/>
      <color rgb="FF0099FF"/>
      <color rgb="FF5DBDFF"/>
      <color rgb="FFF5FAFD"/>
      <color rgb="FFEDFC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dinâmica10</c:name>
    <c:fmtId val="8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Total Dinheiro a Acumulados Ate o Momento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108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Planilha4!$M$12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10800000" scaled="1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Planilha4!$L$13:$L$21</c:f>
              <c:strCache>
                <c:ptCount val="8"/>
                <c:pt idx="0">
                  <c:v>Academia</c:v>
                </c:pt>
                <c:pt idx="1">
                  <c:v>Aposentar</c:v>
                </c:pt>
                <c:pt idx="2">
                  <c:v>Bens</c:v>
                </c:pt>
                <c:pt idx="3">
                  <c:v>Cabelo</c:v>
                </c:pt>
                <c:pt idx="4">
                  <c:v>Casa 100</c:v>
                </c:pt>
                <c:pt idx="5">
                  <c:v>Estudos</c:v>
                </c:pt>
                <c:pt idx="6">
                  <c:v>Planos de Medio</c:v>
                </c:pt>
                <c:pt idx="7">
                  <c:v>Racão</c:v>
                </c:pt>
              </c:strCache>
            </c:strRef>
          </c:cat>
          <c:val>
            <c:numRef>
              <c:f>Planilha4!$M$13:$M$21</c:f>
              <c:numCache>
                <c:formatCode>_("R$"* #,##0.00_);_("R$"* \(#,##0.00\);_("R$"* "-"??_);_(@_)</c:formatCode>
                <c:ptCount val="8"/>
                <c:pt idx="0">
                  <c:v>350</c:v>
                </c:pt>
                <c:pt idx="1">
                  <c:v>80</c:v>
                </c:pt>
                <c:pt idx="2">
                  <c:v>0</c:v>
                </c:pt>
                <c:pt idx="3">
                  <c:v>3</c:v>
                </c:pt>
                <c:pt idx="4">
                  <c:v>400</c:v>
                </c:pt>
                <c:pt idx="5">
                  <c:v>35</c:v>
                </c:pt>
                <c:pt idx="6">
                  <c:v>480</c:v>
                </c:pt>
                <c:pt idx="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0-4E64-AC1A-2920B86029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494189552"/>
        <c:axId val="494188896"/>
        <c:axId val="0"/>
      </c:bar3DChart>
      <c:catAx>
        <c:axId val="494189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4188896"/>
        <c:crosses val="autoZero"/>
        <c:auto val="1"/>
        <c:lblAlgn val="ctr"/>
        <c:lblOffset val="100"/>
        <c:noMultiLvlLbl val="0"/>
      </c:catAx>
      <c:valAx>
        <c:axId val="4941888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418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Gastos</a:t>
            </a:r>
            <a:r>
              <a:rPr lang="pt-BR" b="1" baseline="0"/>
              <a:t> e Ganhos do Periodos</a:t>
            </a:r>
            <a:endParaRPr lang="pt-BR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Planilha4!$B$6</c:f>
              <c:strCache>
                <c:ptCount val="1"/>
                <c:pt idx="0">
                  <c:v>Soma de Bens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Planilha4!$B$7:$B$8</c:f>
              <c:numCache>
                <c:formatCode>_("R$"* #,##0.00_);_("R$"* \(#,##0.00\);_("R$"* "-"??_);_(@_)</c:formatCode>
                <c:ptCount val="1"/>
                <c:pt idx="0">
                  <c:v>-16.78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D-45CE-89F4-B454AF8998BC}"/>
            </c:ext>
          </c:extLst>
        </c:ser>
        <c:ser>
          <c:idx val="1"/>
          <c:order val="1"/>
          <c:tx>
            <c:strRef>
              <c:f>Planilha4!$C$6</c:f>
              <c:strCache>
                <c:ptCount val="1"/>
                <c:pt idx="0">
                  <c:v>Soma de Lazer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Planilha4!$C$7:$C$8</c:f>
              <c:numCache>
                <c:formatCode>_("R$"* #,##0.00_);_("R$"* \(#,##0.00\);_("R$"* "-"??_);_(@_)</c:formatCode>
                <c:ptCount val="1"/>
                <c:pt idx="0">
                  <c:v>-50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BD-45CE-89F4-B454AF8998BC}"/>
            </c:ext>
          </c:extLst>
        </c:ser>
        <c:ser>
          <c:idx val="2"/>
          <c:order val="2"/>
          <c:tx>
            <c:strRef>
              <c:f>Planilha4!$D$6</c:f>
              <c:strCache>
                <c:ptCount val="1"/>
                <c:pt idx="0">
                  <c:v>Soma de Alimentação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Planilha4!$D$7:$D$8</c:f>
              <c:numCache>
                <c:formatCode>_("R$"* #,##0.00_);_("R$"* \(#,##0.00\);_("R$"* "-"??_);_(@_)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BD-45CE-89F4-B454AF8998BC}"/>
            </c:ext>
          </c:extLst>
        </c:ser>
        <c:ser>
          <c:idx val="3"/>
          <c:order val="3"/>
          <c:tx>
            <c:strRef>
              <c:f>Planilha4!$E$6</c:f>
              <c:strCache>
                <c:ptCount val="1"/>
                <c:pt idx="0">
                  <c:v>Soma de Cabelo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Planilha4!$E$7:$E$8</c:f>
              <c:numCache>
                <c:formatCode>_("R$"* #,##0.00_);_("R$"* \(#,##0.00\);_("R$"* "-"??_);_(@_)</c:formatCode>
                <c:ptCount val="1"/>
                <c:pt idx="0">
                  <c:v>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BD-45CE-89F4-B454AF8998BC}"/>
            </c:ext>
          </c:extLst>
        </c:ser>
        <c:ser>
          <c:idx val="4"/>
          <c:order val="4"/>
          <c:tx>
            <c:strRef>
              <c:f>Planilha4!$F$6</c:f>
              <c:strCache>
                <c:ptCount val="1"/>
                <c:pt idx="0">
                  <c:v>Soma de DIzimo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Planilha4!$F$7:$F$8</c:f>
              <c:numCache>
                <c:formatCode>_("R$"* #,##0.00_);_("R$"* \(#,##0.00\);_("R$"* "-"??_);_(@_)</c:formatCode>
                <c:ptCount val="1"/>
                <c:pt idx="0">
                  <c:v>-80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BD-45CE-89F4-B454AF8998BC}"/>
            </c:ext>
          </c:extLst>
        </c:ser>
        <c:ser>
          <c:idx val="5"/>
          <c:order val="5"/>
          <c:tx>
            <c:strRef>
              <c:f>Planilha4!$G$6</c:f>
              <c:strCache>
                <c:ptCount val="1"/>
                <c:pt idx="0">
                  <c:v>Soma de 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Planilha4!$G$7:$G$8</c:f>
              <c:numCache>
                <c:formatCode>_("R$"* #,##0.00_);_("R$"* \(#,##0.00\);_("R$"* "-"??_);_(@_)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BD-45CE-89F4-B454AF8998BC}"/>
            </c:ext>
          </c:extLst>
        </c:ser>
        <c:ser>
          <c:idx val="6"/>
          <c:order val="6"/>
          <c:tx>
            <c:strRef>
              <c:f>Planilha4!$H$6</c:f>
              <c:strCache>
                <c:ptCount val="1"/>
                <c:pt idx="0">
                  <c:v>Soma de Outros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Planilha4!$H$7:$H$8</c:f>
              <c:numCache>
                <c:formatCode>_("R$"* #,##0.00_);_("R$"* \(#,##0.00\);_("R$"* "-"??_);_(@_)</c:formatCode>
                <c:ptCount val="1"/>
                <c:pt idx="0">
                  <c:v>-102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BD-45CE-89F4-B454AF8998BC}"/>
            </c:ext>
          </c:extLst>
        </c:ser>
        <c:ser>
          <c:idx val="7"/>
          <c:order val="7"/>
          <c:tx>
            <c:strRef>
              <c:f>Planilha4!$I$6</c:f>
              <c:strCache>
                <c:ptCount val="1"/>
                <c:pt idx="0">
                  <c:v>Soma de Racão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Planilha4!$A$7:$A$8</c:f>
              <c:strCache>
                <c:ptCount val="1"/>
                <c:pt idx="0">
                  <c:v>Outubro</c:v>
                </c:pt>
              </c:strCache>
            </c:strRef>
          </c:cat>
          <c:val>
            <c:numRef>
              <c:f>Planilha4!$I$7:$I$8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BD-45CE-89F4-B454AF8998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0617512"/>
        <c:axId val="470616528"/>
      </c:barChart>
      <c:catAx>
        <c:axId val="4706175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0616528"/>
        <c:crosses val="autoZero"/>
        <c:auto val="1"/>
        <c:lblAlgn val="ctr"/>
        <c:lblOffset val="100"/>
        <c:noMultiLvlLbl val="0"/>
      </c:catAx>
      <c:valAx>
        <c:axId val="4706165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7061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dinâmica2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Locais ao longo do tempo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Planilha4!$M$25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Planilha4!$L$26:$L$30</c:f>
              <c:strCache>
                <c:ptCount val="4"/>
                <c:pt idx="0">
                  <c:v>01/jul</c:v>
                </c:pt>
                <c:pt idx="1">
                  <c:v>01/ago</c:v>
                </c:pt>
                <c:pt idx="2">
                  <c:v>01/set</c:v>
                </c:pt>
                <c:pt idx="3">
                  <c:v>01/out</c:v>
                </c:pt>
              </c:strCache>
            </c:strRef>
          </c:cat>
          <c:val>
            <c:numRef>
              <c:f>Planilha4!$M$26:$M$30</c:f>
              <c:numCache>
                <c:formatCode>_("R$"* #,##0.00_);_("R$"* \(#,##0.00\);_("R$"* "-"??_);_(@_)</c:formatCode>
                <c:ptCount val="4"/>
                <c:pt idx="0">
                  <c:v>1954.5</c:v>
                </c:pt>
                <c:pt idx="1">
                  <c:v>1906</c:v>
                </c:pt>
                <c:pt idx="2">
                  <c:v>2118.27</c:v>
                </c:pt>
                <c:pt idx="3">
                  <c:v>2058.0100000000002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5-4FE0-9071-F6A5008C7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40472"/>
        <c:axId val="370243096"/>
      </c:areaChart>
      <c:catAx>
        <c:axId val="37024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3096"/>
        <c:crosses val="autoZero"/>
        <c:auto val="1"/>
        <c:lblAlgn val="ctr"/>
        <c:lblOffset val="100"/>
        <c:noMultiLvlLbl val="0"/>
      </c:catAx>
      <c:valAx>
        <c:axId val="37024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240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[SistemaJoão v2.0.xlsm]Planilha4!Tabela dinâmica3</c:name>
    <c:fmtId val="8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pt-BR" sz="1100"/>
              <a:t>Porcentagem por Mês e Valor</a:t>
            </a:r>
          </a:p>
        </c:rich>
      </c:tx>
      <c:layout>
        <c:manualLayout>
          <c:xMode val="edge"/>
          <c:yMode val="edge"/>
          <c:x val="0.3537474824442976"/>
          <c:y val="3.26701409060604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</c:pivotFmt>
      <c:pivotFmt>
        <c:idx val="3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Planilha4!$M$34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BC6-4109-A6E9-2D9B48C5F75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BC6-4109-A6E9-2D9B48C5F75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BC6-4109-A6E9-2D9B48C5F75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BC6-4109-A6E9-2D9B48C5F75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BC6-4109-A6E9-2D9B48C5F758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BC6-4109-A6E9-2D9B48C5F758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FF9-494D-B9B2-B1BEFB0F1B0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FF9-494D-B9B2-B1BEFB0F1B0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FF9-494D-B9B2-B1BEFB0F1B0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37F-4D56-AB8C-274EC954F2E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37F-4D56-AB8C-274EC954F2E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37F-4D56-AB8C-274EC954F2EF}"/>
              </c:ext>
            </c:extLst>
          </c:dPt>
          <c:cat>
            <c:multiLvlStrRef>
              <c:f>Planilha4!$L$35:$L$60</c:f>
              <c:multiLvlStrCache>
                <c:ptCount val="12"/>
                <c:lvl>
                  <c:pt idx="1">
                    <c:v>Soma de NUBANK</c:v>
                  </c:pt>
                  <c:pt idx="2">
                    <c:v>Soma de PICPAY</c:v>
                  </c:pt>
                  <c:pt idx="4">
                    <c:v>Soma de NUBANK</c:v>
                  </c:pt>
                  <c:pt idx="5">
                    <c:v>Soma de PICPAY</c:v>
                  </c:pt>
                  <c:pt idx="7">
                    <c:v>Soma de NUBANK</c:v>
                  </c:pt>
                  <c:pt idx="8">
                    <c:v>Soma de PICPAY</c:v>
                  </c:pt>
                  <c:pt idx="10">
                    <c:v>Soma de NUBANK</c:v>
                  </c:pt>
                  <c:pt idx="11">
                    <c:v>Soma de PICPAY</c:v>
                  </c:pt>
                </c:lvl>
                <c:lvl/>
                <c:lvl>
                  <c:pt idx="6">
                    <c:v>set</c:v>
                  </c:pt>
                  <c:pt idx="7">
                    <c:v>set</c:v>
                  </c:pt>
                  <c:pt idx="9">
                    <c:v>out</c:v>
                  </c:pt>
                </c:lvl>
                <c:lvl>
                  <c:pt idx="0">
                    <c:v>4,5</c:v>
                  </c:pt>
                  <c:pt idx="1">
                    <c:v>4,5</c:v>
                  </c:pt>
                  <c:pt idx="3">
                    <c:v>0</c:v>
                  </c:pt>
                  <c:pt idx="4">
                    <c:v>0</c:v>
                  </c:pt>
                  <c:pt idx="6">
                    <c:v>(vazio)</c:v>
                  </c:pt>
                  <c:pt idx="7">
                    <c:v>(vazio)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3">
                    <c:v>200</c:v>
                  </c:pt>
                  <c:pt idx="4">
                    <c:v>200</c:v>
                  </c:pt>
                  <c:pt idx="6">
                    <c:v>(vazio)</c:v>
                  </c:pt>
                  <c:pt idx="7">
                    <c:v>(vazio)</c:v>
                  </c:pt>
                </c:lvl>
              </c:multiLvlStrCache>
            </c:multiLvlStrRef>
          </c:cat>
          <c:val>
            <c:numRef>
              <c:f>Planilha4!$M$35:$M$60</c:f>
              <c:numCache>
                <c:formatCode>_("R$"* #,##0.00_);_("R$"* \(#,##0.00\);_("R$"* "-"??_);_(@_)</c:formatCode>
                <c:ptCount val="12"/>
                <c:pt idx="1">
                  <c:v>1350</c:v>
                </c:pt>
                <c:pt idx="2">
                  <c:v>2000</c:v>
                </c:pt>
                <c:pt idx="4">
                  <c:v>0</c:v>
                </c:pt>
                <c:pt idx="5">
                  <c:v>2502</c:v>
                </c:pt>
                <c:pt idx="7">
                  <c:v>480.66</c:v>
                </c:pt>
                <c:pt idx="8">
                  <c:v>1918.99</c:v>
                </c:pt>
                <c:pt idx="10">
                  <c:v>411.9</c:v>
                </c:pt>
                <c:pt idx="11">
                  <c:v>1855.89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48F-45F0-B04F-829F794DB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 flip="none" rotWithShape="1"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10800000" scaled="1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.png"/><Relationship Id="rId7" Type="http://schemas.openxmlformats.org/officeDocument/2006/relationships/hyperlink" Target="#base!A1"/><Relationship Id="rId2" Type="http://schemas.openxmlformats.org/officeDocument/2006/relationships/hyperlink" Target="#acumulado!A1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11" Type="http://schemas.openxmlformats.org/officeDocument/2006/relationships/chart" Target="../charts/chart4.xml"/><Relationship Id="rId5" Type="http://schemas.openxmlformats.org/officeDocument/2006/relationships/image" Target="../media/image3.png"/><Relationship Id="rId10" Type="http://schemas.openxmlformats.org/officeDocument/2006/relationships/chart" Target="../charts/chart3.xml"/><Relationship Id="rId4" Type="http://schemas.openxmlformats.org/officeDocument/2006/relationships/image" Target="../media/image2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461458</xdr:colOff>
      <xdr:row>0</xdr:row>
      <xdr:rowOff>78084</xdr:rowOff>
    </xdr:from>
    <xdr:to>
      <xdr:col>32</xdr:col>
      <xdr:colOff>537307</xdr:colOff>
      <xdr:row>32</xdr:row>
      <xdr:rowOff>145162</xdr:rowOff>
    </xdr:to>
    <xdr:sp macro="" textlink="">
      <xdr:nvSpPr>
        <xdr:cNvPr id="3" name="Retângulo Arredondado 2"/>
        <xdr:cNvSpPr/>
      </xdr:nvSpPr>
      <xdr:spPr>
        <a:xfrm>
          <a:off x="461458" y="78084"/>
          <a:ext cx="19614311" cy="6319386"/>
        </a:xfrm>
        <a:prstGeom prst="roundRect">
          <a:avLst>
            <a:gd name="adj" fmla="val 7616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101714</xdr:colOff>
      <xdr:row>0</xdr:row>
      <xdr:rowOff>66261</xdr:rowOff>
    </xdr:from>
    <xdr:to>
      <xdr:col>6</xdr:col>
      <xdr:colOff>121227</xdr:colOff>
      <xdr:row>32</xdr:row>
      <xdr:rowOff>149087</xdr:rowOff>
    </xdr:to>
    <xdr:sp macro="" textlink="">
      <xdr:nvSpPr>
        <xdr:cNvPr id="4" name="Retângulo Arredondado 3"/>
        <xdr:cNvSpPr/>
      </xdr:nvSpPr>
      <xdr:spPr>
        <a:xfrm>
          <a:off x="101714" y="66261"/>
          <a:ext cx="3696991" cy="6178826"/>
        </a:xfrm>
        <a:prstGeom prst="roundRect">
          <a:avLst>
            <a:gd name="adj" fmla="val 12988"/>
          </a:avLst>
        </a:prstGeom>
        <a:solidFill>
          <a:srgbClr val="0066CC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547936</xdr:colOff>
      <xdr:row>0</xdr:row>
      <xdr:rowOff>170962</xdr:rowOff>
    </xdr:from>
    <xdr:to>
      <xdr:col>14</xdr:col>
      <xdr:colOff>366346</xdr:colOff>
      <xdr:row>14</xdr:row>
      <xdr:rowOff>134328</xdr:rowOff>
    </xdr:to>
    <xdr:sp macro="" textlink="">
      <xdr:nvSpPr>
        <xdr:cNvPr id="6" name="Retângulo Arredondado 5"/>
        <xdr:cNvSpPr/>
      </xdr:nvSpPr>
      <xdr:spPr>
        <a:xfrm>
          <a:off x="4211398" y="170962"/>
          <a:ext cx="4703025" cy="269875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501105</xdr:colOff>
      <xdr:row>1</xdr:row>
      <xdr:rowOff>45829</xdr:rowOff>
    </xdr:from>
    <xdr:to>
      <xdr:col>25</xdr:col>
      <xdr:colOff>146539</xdr:colOff>
      <xdr:row>14</xdr:row>
      <xdr:rowOff>143830</xdr:rowOff>
    </xdr:to>
    <xdr:sp macro="" textlink="">
      <xdr:nvSpPr>
        <xdr:cNvPr id="8" name="Retângulo Arredondado 7"/>
        <xdr:cNvSpPr/>
      </xdr:nvSpPr>
      <xdr:spPr>
        <a:xfrm>
          <a:off x="9049182" y="241214"/>
          <a:ext cx="6361780" cy="2638001"/>
        </a:xfrm>
        <a:prstGeom prst="roundRect">
          <a:avLst>
            <a:gd name="adj" fmla="val 11112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512617</xdr:colOff>
      <xdr:row>15</xdr:row>
      <xdr:rowOff>122117</xdr:rowOff>
    </xdr:from>
    <xdr:to>
      <xdr:col>25</xdr:col>
      <xdr:colOff>97692</xdr:colOff>
      <xdr:row>30</xdr:row>
      <xdr:rowOff>103910</xdr:rowOff>
    </xdr:to>
    <xdr:sp macro="" textlink="">
      <xdr:nvSpPr>
        <xdr:cNvPr id="9" name="Retângulo Arredondado 8"/>
        <xdr:cNvSpPr/>
      </xdr:nvSpPr>
      <xdr:spPr>
        <a:xfrm>
          <a:off x="4176079" y="3052886"/>
          <a:ext cx="11186036" cy="291256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467455</xdr:colOff>
      <xdr:row>15</xdr:row>
      <xdr:rowOff>62394</xdr:rowOff>
    </xdr:from>
    <xdr:to>
      <xdr:col>5</xdr:col>
      <xdr:colOff>222527</xdr:colOff>
      <xdr:row>18</xdr:row>
      <xdr:rowOff>48787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467455" y="2850199"/>
          <a:ext cx="2775194" cy="543954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>
              <a:latin typeface="HP Simplified" panose="020B0606020204020204" pitchFamily="34" charset="0"/>
            </a:rPr>
            <a:t>DashBoard</a:t>
          </a:r>
          <a:endParaRPr lang="pt-BR" sz="1100" b="1">
            <a:latin typeface="HP Simplified" panose="020B0606020204020204" pitchFamily="34" charset="0"/>
          </a:endParaRPr>
        </a:p>
      </xdr:txBody>
    </xdr:sp>
    <xdr:clientData/>
  </xdr:twoCellAnchor>
  <xdr:twoCellAnchor>
    <xdr:from>
      <xdr:col>0</xdr:col>
      <xdr:colOff>432606</xdr:colOff>
      <xdr:row>18</xdr:row>
      <xdr:rowOff>88016</xdr:rowOff>
    </xdr:from>
    <xdr:to>
      <xdr:col>5</xdr:col>
      <xdr:colOff>187678</xdr:colOff>
      <xdr:row>21</xdr:row>
      <xdr:rowOff>74409</xdr:rowOff>
    </xdr:to>
    <xdr:sp macro="[0]!exibicaoFluxo_Caixa" textlink="">
      <xdr:nvSpPr>
        <xdr:cNvPr id="14" name="Retângulo Arredondado 13"/>
        <xdr:cNvSpPr/>
      </xdr:nvSpPr>
      <xdr:spPr>
        <a:xfrm>
          <a:off x="432606" y="3433382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Fluxo de Caixa</a:t>
          </a:r>
          <a:endParaRPr lang="pt-BR" sz="1100"/>
        </a:p>
      </xdr:txBody>
    </xdr:sp>
    <xdr:clientData/>
  </xdr:twoCellAnchor>
  <xdr:twoCellAnchor>
    <xdr:from>
      <xdr:col>0</xdr:col>
      <xdr:colOff>455839</xdr:colOff>
      <xdr:row>21</xdr:row>
      <xdr:rowOff>141514</xdr:rowOff>
    </xdr:from>
    <xdr:to>
      <xdr:col>5</xdr:col>
      <xdr:colOff>210911</xdr:colOff>
      <xdr:row>24</xdr:row>
      <xdr:rowOff>127907</xdr:rowOff>
    </xdr:to>
    <xdr:sp macro="" textlink="">
      <xdr:nvSpPr>
        <xdr:cNvPr id="16" name="Retângulo Arredondado 15">
          <a:hlinkClick xmlns:r="http://schemas.openxmlformats.org/officeDocument/2006/relationships" r:id="rId2"/>
        </xdr:cNvPr>
        <xdr:cNvSpPr/>
      </xdr:nvSpPr>
      <xdr:spPr>
        <a:xfrm>
          <a:off x="455839" y="4044441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Acumulados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455839</xdr:colOff>
      <xdr:row>25</xdr:row>
      <xdr:rowOff>21772</xdr:rowOff>
    </xdr:from>
    <xdr:to>
      <xdr:col>5</xdr:col>
      <xdr:colOff>210911</xdr:colOff>
      <xdr:row>28</xdr:row>
      <xdr:rowOff>8165</xdr:rowOff>
    </xdr:to>
    <xdr:sp macro="" textlink="">
      <xdr:nvSpPr>
        <xdr:cNvPr id="17" name="Retângulo Arredondado 16"/>
        <xdr:cNvSpPr/>
      </xdr:nvSpPr>
      <xdr:spPr>
        <a:xfrm>
          <a:off x="455839" y="4668113"/>
          <a:ext cx="2775194" cy="543954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Chaves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517860</xdr:colOff>
      <xdr:row>28</xdr:row>
      <xdr:rowOff>119745</xdr:rowOff>
    </xdr:from>
    <xdr:to>
      <xdr:col>2</xdr:col>
      <xdr:colOff>585895</xdr:colOff>
      <xdr:row>31</xdr:row>
      <xdr:rowOff>95251</xdr:rowOff>
    </xdr:to>
    <xdr:sp macro="" textlink="">
      <xdr:nvSpPr>
        <xdr:cNvPr id="18" name="Retângulo Arredondado 17"/>
        <xdr:cNvSpPr/>
      </xdr:nvSpPr>
      <xdr:spPr>
        <a:xfrm>
          <a:off x="517860" y="5531049"/>
          <a:ext cx="1282818" cy="555289"/>
        </a:xfrm>
        <a:prstGeom prst="roundRect">
          <a:avLst>
            <a:gd name="adj" fmla="val 47619"/>
          </a:avLst>
        </a:prstGeom>
        <a:solidFill>
          <a:srgbClr val="0099FF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100691</xdr:colOff>
      <xdr:row>28</xdr:row>
      <xdr:rowOff>111582</xdr:rowOff>
    </xdr:from>
    <xdr:to>
      <xdr:col>5</xdr:col>
      <xdr:colOff>152400</xdr:colOff>
      <xdr:row>31</xdr:row>
      <xdr:rowOff>87088</xdr:rowOff>
    </xdr:to>
    <xdr:sp macro="[0]!Sair" textlink="">
      <xdr:nvSpPr>
        <xdr:cNvPr id="19" name="Retângulo Arredondado 18"/>
        <xdr:cNvSpPr/>
      </xdr:nvSpPr>
      <xdr:spPr>
        <a:xfrm>
          <a:off x="1929491" y="5445582"/>
          <a:ext cx="1270909" cy="547006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chemeClr val="accent5">
                <a:lumMod val="75000"/>
                <a:shade val="30000"/>
                <a:satMod val="115000"/>
              </a:schemeClr>
            </a:gs>
            <a:gs pos="50000">
              <a:schemeClr val="accent5">
                <a:lumMod val="75000"/>
                <a:shade val="67500"/>
                <a:satMod val="115000"/>
              </a:schemeClr>
            </a:gs>
            <a:gs pos="100000">
              <a:schemeClr val="accent5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Sair</a:t>
          </a: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387969</xdr:colOff>
      <xdr:row>1</xdr:row>
      <xdr:rowOff>180213</xdr:rowOff>
    </xdr:from>
    <xdr:to>
      <xdr:col>3</xdr:col>
      <xdr:colOff>499481</xdr:colOff>
      <xdr:row>5</xdr:row>
      <xdr:rowOff>81311</xdr:rowOff>
    </xdr:to>
    <xdr:sp macro="" textlink="">
      <xdr:nvSpPr>
        <xdr:cNvPr id="23" name="CaixaDeTexto 22"/>
        <xdr:cNvSpPr txBox="1"/>
      </xdr:nvSpPr>
      <xdr:spPr>
        <a:xfrm>
          <a:off x="387969" y="366067"/>
          <a:ext cx="1923585" cy="644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800" b="1" i="1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João Dash</a:t>
          </a:r>
          <a:endParaRPr kumimoji="0" lang="pt-BR" sz="1400" b="1" i="1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endParaRPr lang="pt-BR" sz="1400"/>
        </a:p>
      </xdr:txBody>
    </xdr:sp>
    <xdr:clientData/>
  </xdr:twoCellAnchor>
  <xdr:twoCellAnchor>
    <xdr:from>
      <xdr:col>3</xdr:col>
      <xdr:colOff>182232</xdr:colOff>
      <xdr:row>6</xdr:row>
      <xdr:rowOff>81312</xdr:rowOff>
    </xdr:from>
    <xdr:to>
      <xdr:col>5</xdr:col>
      <xdr:colOff>557560</xdr:colOff>
      <xdr:row>12</xdr:row>
      <xdr:rowOff>69696</xdr:rowOff>
    </xdr:to>
    <xdr:sp macro="" textlink="">
      <xdr:nvSpPr>
        <xdr:cNvPr id="41" name="Retângulo Arredondado 40"/>
        <xdr:cNvSpPr/>
      </xdr:nvSpPr>
      <xdr:spPr>
        <a:xfrm>
          <a:off x="1994305" y="1196434"/>
          <a:ext cx="1583377" cy="1103506"/>
        </a:xfrm>
        <a:prstGeom prst="roundRect">
          <a:avLst>
            <a:gd name="adj" fmla="val 4195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285750</xdr:colOff>
      <xdr:row>9</xdr:row>
      <xdr:rowOff>34849</xdr:rowOff>
    </xdr:from>
    <xdr:to>
      <xdr:col>5</xdr:col>
      <xdr:colOff>406554</xdr:colOff>
      <xdr:row>11</xdr:row>
      <xdr:rowOff>69696</xdr:rowOff>
    </xdr:to>
    <xdr:sp macro="" textlink="base!Q7">
      <xdr:nvSpPr>
        <xdr:cNvPr id="42" name="CaixaDeTexto 41"/>
        <xdr:cNvSpPr txBox="1"/>
      </xdr:nvSpPr>
      <xdr:spPr>
        <a:xfrm>
          <a:off x="2114550" y="1749349"/>
          <a:ext cx="1340004" cy="41584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4E7FE23-594B-4BA2-A904-69111D92976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 R$ 2.058,01 </a:t>
          </a:fld>
          <a:endParaRPr lang="en-US" sz="3600" b="1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3</xdr:col>
      <xdr:colOff>325243</xdr:colOff>
      <xdr:row>7</xdr:row>
      <xdr:rowOff>116158</xdr:rowOff>
    </xdr:from>
    <xdr:to>
      <xdr:col>5</xdr:col>
      <xdr:colOff>441401</xdr:colOff>
      <xdr:row>8</xdr:row>
      <xdr:rowOff>174237</xdr:rowOff>
    </xdr:to>
    <xdr:sp macro="" textlink="">
      <xdr:nvSpPr>
        <xdr:cNvPr id="44" name="CaixaDeTexto 43"/>
        <xdr:cNvSpPr txBox="1"/>
      </xdr:nvSpPr>
      <xdr:spPr>
        <a:xfrm>
          <a:off x="2137316" y="1417134"/>
          <a:ext cx="1324207" cy="24393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 u="none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Valores</a:t>
          </a:r>
          <a:r>
            <a:rPr lang="pt-BR" sz="1400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 </a:t>
          </a:r>
          <a:r>
            <a:rPr lang="pt-BR" sz="1400" b="1" u="none" baseline="0">
              <a:solidFill>
                <a:schemeClr val="tx1">
                  <a:lumMod val="65000"/>
                  <a:lumOff val="35000"/>
                </a:schemeClr>
              </a:solidFill>
              <a:latin typeface="HP Simplified" panose="020B0606020204020204" pitchFamily="34" charset="0"/>
            </a:rPr>
            <a:t>Totais</a:t>
          </a:r>
          <a:endParaRPr lang="pt-BR" sz="1400" b="1" u="none">
            <a:solidFill>
              <a:schemeClr val="tx1">
                <a:lumMod val="65000"/>
                <a:lumOff val="35000"/>
              </a:schemeClr>
            </a:solidFill>
            <a:latin typeface="HP Simplified" panose="020B0606020204020204" pitchFamily="34" charset="0"/>
          </a:endParaRPr>
        </a:p>
      </xdr:txBody>
    </xdr:sp>
    <xdr:clientData/>
  </xdr:twoCellAnchor>
  <xdr:twoCellAnchor editAs="oneCell">
    <xdr:from>
      <xdr:col>4</xdr:col>
      <xdr:colOff>58079</xdr:colOff>
      <xdr:row>15</xdr:row>
      <xdr:rowOff>127775</xdr:rowOff>
    </xdr:from>
    <xdr:to>
      <xdr:col>4</xdr:col>
      <xdr:colOff>577375</xdr:colOff>
      <xdr:row>18</xdr:row>
      <xdr:rowOff>34847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4177" y="2915580"/>
          <a:ext cx="519296" cy="464633"/>
        </a:xfrm>
        <a:prstGeom prst="rect">
          <a:avLst/>
        </a:prstGeom>
      </xdr:spPr>
    </xdr:pic>
    <xdr:clientData/>
  </xdr:twoCellAnchor>
  <xdr:twoCellAnchor editAs="oneCell">
    <xdr:from>
      <xdr:col>4</xdr:col>
      <xdr:colOff>174237</xdr:colOff>
      <xdr:row>18</xdr:row>
      <xdr:rowOff>128858</xdr:rowOff>
    </xdr:from>
    <xdr:to>
      <xdr:col>4</xdr:col>
      <xdr:colOff>596900</xdr:colOff>
      <xdr:row>20</xdr:row>
      <xdr:rowOff>178237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545" y="3645781"/>
          <a:ext cx="422663" cy="440148"/>
        </a:xfrm>
        <a:prstGeom prst="rect">
          <a:avLst/>
        </a:prstGeom>
      </xdr:spPr>
    </xdr:pic>
    <xdr:clientData/>
  </xdr:twoCellAnchor>
  <xdr:twoCellAnchor editAs="oneCell">
    <xdr:from>
      <xdr:col>0</xdr:col>
      <xdr:colOff>545945</xdr:colOff>
      <xdr:row>6</xdr:row>
      <xdr:rowOff>139390</xdr:rowOff>
    </xdr:from>
    <xdr:to>
      <xdr:col>2</xdr:col>
      <xdr:colOff>423746</xdr:colOff>
      <xdr:row>11</xdr:row>
      <xdr:rowOff>181672</xdr:rowOff>
    </xdr:to>
    <xdr:pic>
      <xdr:nvPicPr>
        <xdr:cNvPr id="48" name="Imagem 4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945" y="1254512"/>
          <a:ext cx="1085850" cy="971550"/>
        </a:xfrm>
        <a:prstGeom prst="rect">
          <a:avLst/>
        </a:prstGeom>
      </xdr:spPr>
    </xdr:pic>
    <xdr:clientData/>
  </xdr:twoCellAnchor>
  <xdr:twoCellAnchor>
    <xdr:from>
      <xdr:col>15</xdr:col>
      <xdr:colOff>101855</xdr:colOff>
      <xdr:row>2</xdr:row>
      <xdr:rowOff>37819</xdr:rowOff>
    </xdr:from>
    <xdr:to>
      <xdr:col>24</xdr:col>
      <xdr:colOff>525096</xdr:colOff>
      <xdr:row>14</xdr:row>
      <xdr:rowOff>0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156799</xdr:colOff>
      <xdr:row>2</xdr:row>
      <xdr:rowOff>16368</xdr:rowOff>
    </xdr:from>
    <xdr:to>
      <xdr:col>5</xdr:col>
      <xdr:colOff>509475</xdr:colOff>
      <xdr:row>3</xdr:row>
      <xdr:rowOff>155058</xdr:rowOff>
    </xdr:to>
    <xdr:sp macro="[0]!atualizandoDashboard" textlink="">
      <xdr:nvSpPr>
        <xdr:cNvPr id="30" name="Retângulo Arredondado 29"/>
        <xdr:cNvSpPr/>
      </xdr:nvSpPr>
      <xdr:spPr>
        <a:xfrm>
          <a:off x="2593427" y="392938"/>
          <a:ext cx="961833" cy="326975"/>
        </a:xfrm>
        <a:prstGeom prst="roundRect">
          <a:avLst>
            <a:gd name="adj" fmla="val 47619"/>
          </a:avLst>
        </a:prstGeom>
        <a:gradFill flip="none" rotWithShape="1">
          <a:gsLst>
            <a:gs pos="0">
              <a:srgbClr val="0099FF">
                <a:shade val="30000"/>
                <a:satMod val="115000"/>
              </a:srgbClr>
            </a:gs>
            <a:gs pos="50000">
              <a:srgbClr val="0099FF">
                <a:shade val="67500"/>
                <a:satMod val="115000"/>
              </a:srgbClr>
            </a:gs>
            <a:gs pos="100000">
              <a:srgbClr val="0099FF">
                <a:shade val="100000"/>
                <a:satMod val="115000"/>
              </a:srgbClr>
            </a:gs>
          </a:gsLst>
          <a:lin ang="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HP Simplified" panose="020B0606020204020204" pitchFamily="34" charset="0"/>
              <a:ea typeface="+mn-ea"/>
              <a:cs typeface="+mn-cs"/>
            </a:rPr>
            <a:t>Atualizar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1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HP Simplified" panose="020B0606020204020204" pitchFamily="34" charset="0"/>
            <a:ea typeface="+mn-ea"/>
            <a:cs typeface="+mn-cs"/>
          </a:endParaRPr>
        </a:p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342900</xdr:colOff>
      <xdr:row>29</xdr:row>
      <xdr:rowOff>12700</xdr:rowOff>
    </xdr:from>
    <xdr:to>
      <xdr:col>2</xdr:col>
      <xdr:colOff>139700</xdr:colOff>
      <xdr:row>31</xdr:row>
      <xdr:rowOff>38100</xdr:rowOff>
    </xdr:to>
    <xdr:pic>
      <xdr:nvPicPr>
        <xdr:cNvPr id="2" name="Imagem 1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5537200"/>
          <a:ext cx="406400" cy="406400"/>
        </a:xfrm>
        <a:prstGeom prst="rect">
          <a:avLst/>
        </a:prstGeom>
      </xdr:spPr>
    </xdr:pic>
    <xdr:clientData/>
  </xdr:twoCellAnchor>
  <xdr:twoCellAnchor>
    <xdr:from>
      <xdr:col>25</xdr:col>
      <xdr:colOff>293903</xdr:colOff>
      <xdr:row>1</xdr:row>
      <xdr:rowOff>13607</xdr:rowOff>
    </xdr:from>
    <xdr:to>
      <xdr:col>32</xdr:col>
      <xdr:colOff>329711</xdr:colOff>
      <xdr:row>30</xdr:row>
      <xdr:rowOff>122114</xdr:rowOff>
    </xdr:to>
    <xdr:sp macro="" textlink="">
      <xdr:nvSpPr>
        <xdr:cNvPr id="31" name="Retângulo Arredondado 30"/>
        <xdr:cNvSpPr/>
      </xdr:nvSpPr>
      <xdr:spPr>
        <a:xfrm>
          <a:off x="15601939" y="204107"/>
          <a:ext cx="4322058" cy="5633007"/>
        </a:xfrm>
        <a:prstGeom prst="roundRect">
          <a:avLst>
            <a:gd name="adj" fmla="val 7033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451826</xdr:colOff>
      <xdr:row>6</xdr:row>
      <xdr:rowOff>0</xdr:rowOff>
    </xdr:from>
    <xdr:to>
      <xdr:col>32</xdr:col>
      <xdr:colOff>109902</xdr:colOff>
      <xdr:row>29</xdr:row>
      <xdr:rowOff>85481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83469</xdr:colOff>
      <xdr:row>16</xdr:row>
      <xdr:rowOff>134328</xdr:rowOff>
    </xdr:from>
    <xdr:to>
      <xdr:col>24</xdr:col>
      <xdr:colOff>381000</xdr:colOff>
      <xdr:row>29</xdr:row>
      <xdr:rowOff>85482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</xdr:col>
      <xdr:colOff>109903</xdr:colOff>
      <xdr:row>1</xdr:row>
      <xdr:rowOff>153864</xdr:rowOff>
    </xdr:from>
    <xdr:to>
      <xdr:col>9</xdr:col>
      <xdr:colOff>51288</xdr:colOff>
      <xdr:row>13</xdr:row>
      <xdr:rowOff>146537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Mese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6845" y="344364"/>
              <a:ext cx="1157655" cy="22786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109903</xdr:colOff>
      <xdr:row>1</xdr:row>
      <xdr:rowOff>124557</xdr:rowOff>
    </xdr:from>
    <xdr:to>
      <xdr:col>14</xdr:col>
      <xdr:colOff>142876</xdr:colOff>
      <xdr:row>13</xdr:row>
      <xdr:rowOff>170962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25</xdr:col>
      <xdr:colOff>454024</xdr:colOff>
      <xdr:row>1</xdr:row>
      <xdr:rowOff>104899</xdr:rowOff>
    </xdr:from>
    <xdr:to>
      <xdr:col>32</xdr:col>
      <xdr:colOff>31750</xdr:colOff>
      <xdr:row>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62060" y="295399"/>
              <a:ext cx="3863976" cy="8952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54427</xdr:colOff>
      <xdr:row>3</xdr:row>
      <xdr:rowOff>87475</xdr:rowOff>
    </xdr:from>
    <xdr:to>
      <xdr:col>8</xdr:col>
      <xdr:colOff>145791</xdr:colOff>
      <xdr:row>5</xdr:row>
      <xdr:rowOff>38877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4972437" y="670638"/>
          <a:ext cx="1316007" cy="340178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74916</xdr:colOff>
      <xdr:row>10</xdr:row>
      <xdr:rowOff>214045</xdr:rowOff>
    </xdr:from>
    <xdr:to>
      <xdr:col>1</xdr:col>
      <xdr:colOff>191654</xdr:colOff>
      <xdr:row>12</xdr:row>
      <xdr:rowOff>189435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4916" y="2568539"/>
          <a:ext cx="1186963" cy="446289"/>
        </a:xfrm>
        <a:prstGeom prst="roundRect">
          <a:avLst>
            <a:gd name="adj" fmla="val 47619"/>
          </a:avLst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HP Simplified" panose="020B0606020204020204" pitchFamily="34" charset="0"/>
            </a:rPr>
            <a:t>DashBoard</a:t>
          </a:r>
          <a:endParaRPr lang="pt-BR" sz="900" b="1">
            <a:latin typeface="HP Simplified" panose="020B0606020204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AO" refreshedDate="44479.861100578702" createdVersion="6" refreshedVersion="6" minRefreshableVersion="3" recordCount="3">
  <cacheSource type="worksheet">
    <worksheetSource name="Tabela9"/>
  </cacheSource>
  <cacheFields count="11">
    <cacheField name="Anos" numFmtId="0">
      <sharedItems containsSemiMixedTypes="0" containsString="0" containsNumber="1" containsInteger="1" minValue="2021" maxValue="2021" count="1">
        <n v="2021"/>
      </sharedItems>
    </cacheField>
    <cacheField name="Mês" numFmtId="0">
      <sharedItems count="3">
        <s v="Agosto"/>
        <s v="Setembro"/>
        <s v="Outubro"/>
      </sharedItems>
    </cacheField>
    <cacheField name="Bens" numFmtId="44">
      <sharedItems containsSemiMixedTypes="0" containsString="0" containsNumber="1" minValue="-125.38000000000001" maxValue="-16.78"/>
    </cacheField>
    <cacheField name="Lazer" numFmtId="44">
      <sharedItems containsSemiMixedTypes="0" containsString="0" containsNumber="1" containsInteger="1" minValue="-50" maxValue="-25"/>
    </cacheField>
    <cacheField name="Alimentação" numFmtId="44">
      <sharedItems containsSemiMixedTypes="0" containsString="0" containsNumber="1" containsInteger="1" minValue="-100" maxValue="0"/>
    </cacheField>
    <cacheField name="Cabelo" numFmtId="44">
      <sharedItems containsSemiMixedTypes="0" containsString="0" containsNumber="1" containsInteger="1" minValue="-51" maxValue="-17"/>
    </cacheField>
    <cacheField name="DIzimo" numFmtId="44">
      <sharedItems containsSemiMixedTypes="0" containsString="0" containsNumber="1" minValue="-80" maxValue="-66.5"/>
    </cacheField>
    <cacheField name="Entradas" numFmtId="44">
      <sharedItems containsSemiMixedTypes="0" containsString="0" containsNumber="1" containsInteger="1" minValue="515" maxValue="900"/>
    </cacheField>
    <cacheField name="Outros" numFmtId="44">
      <sharedItems containsSemiMixedTypes="0" containsString="0" containsNumber="1" containsInteger="1" minValue="-428" maxValue="0"/>
    </cacheField>
    <cacheField name="Racão" numFmtId="44">
      <sharedItems containsSemiMixedTypes="0" containsString="0" containsNumber="1" minValue="-75.5" maxValue="0"/>
    </cacheField>
    <cacheField name="Total Gasto" numFmtId="44">
      <sharedItems containsSemiMixedTypes="0" containsString="0" containsNumber="1" minValue="-796" maxValue="-281.3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AO" refreshedDate="44479.861101041664" createdVersion="6" refreshedVersion="6" minRefreshableVersion="3" recordCount="4">
  <cacheSource type="worksheet">
    <worksheetSource name="Tabela11"/>
  </cacheSource>
  <cacheFields count="9">
    <cacheField name="Mês" numFmtId="17">
      <sharedItems containsSemiMixedTypes="0" containsNonDate="0" containsDate="1" containsString="0" minDate="2021-07-01T00:00:00" maxDate="2021-10-02T00:00:00" count="4">
        <d v="2021-07-01T00:00:00"/>
        <d v="2021-08-01T00:00:00"/>
        <d v="2021-09-01T00:00:00"/>
        <d v="2021-10-01T00:00:00"/>
      </sharedItems>
      <fieldGroup par="8" base="0">
        <rangePr groupBy="days" startDate="2021-07-01T00:00:00" endDate="2021-10-02T00:00:00"/>
        <groupItems count="368">
          <s v="&lt;01/07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0/2021"/>
        </groupItems>
      </fieldGroup>
    </cacheField>
    <cacheField name="PICPAY" numFmtId="44">
      <sharedItems containsSemiMixedTypes="0" containsString="0" containsNumber="1" minValue="1855.89" maxValue="2502"/>
    </cacheField>
    <cacheField name="NUBANK" numFmtId="44">
      <sharedItems containsSemiMixedTypes="0" containsString="0" containsNumber="1" minValue="0" maxValue="1350"/>
    </cacheField>
    <cacheField name="NEXT" numFmtId="44">
      <sharedItems containsString="0" containsBlank="1" containsNumber="1" containsInteger="1" minValue="0" maxValue="340" count="4">
        <n v="0"/>
        <n v="200"/>
        <m/>
        <n v="340" u="1"/>
      </sharedItems>
    </cacheField>
    <cacheField name="BRADESCO" numFmtId="44">
      <sharedItems containsString="0" containsBlank="1" containsNumber="1" minValue="0" maxValue="778" count="4">
        <n v="4.5"/>
        <n v="0"/>
        <m/>
        <n v="778" u="1"/>
      </sharedItems>
    </cacheField>
    <cacheField name="CARTEIRA" numFmtId="44">
      <sharedItems containsString="0" containsBlank="1" containsNumber="1" containsInteger="1" minValue="0" maxValue="156" count="4">
        <n v="100"/>
        <n v="0"/>
        <m/>
        <n v="156"/>
      </sharedItems>
    </cacheField>
    <cacheField name="DEBITOS" numFmtId="44">
      <sharedItems containsSemiMixedTypes="0" containsString="0" containsNumber="1" minValue="281.38" maxValue="1500"/>
    </cacheField>
    <cacheField name="SALDO FINAL" numFmtId="44">
      <sharedItems containsSemiMixedTypes="0" containsString="0" containsNumber="1" minValue="1906" maxValue="2118.27"/>
    </cacheField>
    <cacheField name="Meses" numFmtId="0" databaseField="0">
      <fieldGroup base="0">
        <rangePr groupBy="months" startDate="2021-07-01T00:00:00" endDate="2021-10-02T00:00:00"/>
        <groupItems count="14">
          <s v="&lt;01/07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0/2021"/>
        </groupItems>
      </fieldGroup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JOAO" refreshedDate="44479.861101388888" createdVersion="6" refreshedVersion="6" minRefreshableVersion="3" recordCount="8">
  <cacheSource type="worksheet">
    <worksheetSource name="Tabela13"/>
  </cacheSource>
  <cacheFields count="2">
    <cacheField name="Tipo" numFmtId="0">
      <sharedItems count="8">
        <s v="Bens"/>
        <s v="Academia"/>
        <s v="Casa 100"/>
        <s v="Estudos"/>
        <s v="Planos de Medio"/>
        <s v="Racão"/>
        <s v="Aposentar"/>
        <s v="Cabelo"/>
      </sharedItems>
    </cacheField>
    <cacheField name="Valores Mês" numFmtId="44">
      <sharedItems containsSemiMixedTypes="0" containsString="0" containsNumber="1" containsInteger="1" minValue="0" maxValue="4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x v="0"/>
    <n v="-73"/>
    <n v="-33"/>
    <n v="-100"/>
    <n v="-20"/>
    <n v="-66.5"/>
    <n v="515"/>
    <n v="-428"/>
    <n v="-75.5"/>
    <n v="-796"/>
  </r>
  <r>
    <x v="0"/>
    <x v="1"/>
    <n v="-125.38000000000001"/>
    <n v="-25"/>
    <n v="0"/>
    <n v="-51"/>
    <n v="-80"/>
    <n v="900"/>
    <n v="0"/>
    <n v="0"/>
    <n v="-281.38"/>
  </r>
  <r>
    <x v="0"/>
    <x v="2"/>
    <n v="-16.78"/>
    <n v="-50"/>
    <n v="-100"/>
    <n v="-17"/>
    <n v="-80"/>
    <n v="900"/>
    <n v="-102"/>
    <n v="0"/>
    <n v="-365.7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">
  <r>
    <x v="0"/>
    <n v="2000"/>
    <n v="1350"/>
    <x v="0"/>
    <x v="0"/>
    <x v="0"/>
    <n v="1500"/>
    <n v="1954.5"/>
  </r>
  <r>
    <x v="1"/>
    <n v="2502"/>
    <n v="0"/>
    <x v="1"/>
    <x v="1"/>
    <x v="1"/>
    <n v="796"/>
    <n v="1906"/>
  </r>
  <r>
    <x v="2"/>
    <n v="1918.99"/>
    <n v="480.66"/>
    <x v="2"/>
    <x v="2"/>
    <x v="2"/>
    <n v="281.38"/>
    <n v="2118.27"/>
  </r>
  <r>
    <x v="3"/>
    <n v="1855.89"/>
    <n v="411.9"/>
    <x v="2"/>
    <x v="2"/>
    <x v="3"/>
    <n v="365.78"/>
    <n v="2058.010000000000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">
  <r>
    <x v="0"/>
    <n v="0"/>
  </r>
  <r>
    <x v="1"/>
    <n v="350"/>
  </r>
  <r>
    <x v="2"/>
    <n v="400"/>
  </r>
  <r>
    <x v="3"/>
    <n v="35"/>
  </r>
  <r>
    <x v="4"/>
    <n v="480"/>
  </r>
  <r>
    <x v="5"/>
    <n v="43"/>
  </r>
  <r>
    <x v="6"/>
    <n v="80"/>
  </r>
  <r>
    <x v="7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2" cacheId="2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7">
  <location ref="L25:M30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44" showAll="0"/>
    <pivotField numFmtId="44" showAll="0"/>
    <pivotField showAll="0"/>
    <pivotField showAll="0"/>
    <pivotField showAll="0"/>
    <pivotField numFmtId="44" showAll="0"/>
    <pivotField dataField="1" numFmtId="44" showAll="0"/>
    <pivotField showAll="0" defaultSubtotal="0">
      <items count="14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h="1" x="11"/>
        <item h="1" x="12"/>
        <item h="1" x="13"/>
      </items>
    </pivotField>
  </pivotFields>
  <rowFields count="1">
    <field x="0"/>
  </rowFields>
  <rowItems count="5">
    <i>
      <x v="183"/>
    </i>
    <i>
      <x v="214"/>
    </i>
    <i>
      <x v="245"/>
    </i>
    <i>
      <x v="275"/>
    </i>
    <i t="grand">
      <x/>
    </i>
  </rowItems>
  <colItems count="1">
    <i/>
  </colItems>
  <dataFields count="1">
    <dataField name="Soma de SALDO FINAL" fld="7" baseField="0" baseItem="0"/>
  </dataFields>
  <formats count="2">
    <format dxfId="46">
      <pivotArea outline="0" collapsedLevelsAreSubtotals="1" fieldPosition="0"/>
    </format>
    <format dxfId="45">
      <pivotArea outline="0" collapsedLevelsAreSubtotals="1" fieldPosition="0"/>
    </format>
  </formats>
  <chartFormats count="1">
    <chartFormat chart="3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0" cacheId="3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7">
  <location ref="L12:M21" firstHeaderRow="1" firstDataRow="1" firstDataCol="1"/>
  <pivotFields count="2">
    <pivotField axis="axisRow" showAll="0">
      <items count="9">
        <item x="1"/>
        <item x="6"/>
        <item x="0"/>
        <item x="7"/>
        <item x="2"/>
        <item x="3"/>
        <item x="4"/>
        <item x="5"/>
        <item t="default"/>
      </items>
    </pivotField>
    <pivotField dataField="1" numFmtId="44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es Mês" fld="1" baseField="0" baseItem="0"/>
  </dataFields>
  <formats count="1">
    <format dxfId="47">
      <pivotArea outline="0" collapsedLevelsAreSubtotals="1" fieldPosition="0"/>
    </format>
  </formats>
  <chartFormats count="1">
    <chartFormat chart="8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2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6:I8" firstHeaderRow="0" firstDataRow="1" firstDataCol="1" rowPageCount="1" colPageCount="1"/>
  <pivotFields count="11">
    <pivotField axis="axisPage" showAll="0">
      <items count="2">
        <item x="0"/>
        <item t="default"/>
      </items>
    </pivotField>
    <pivotField axis="axisRow" showAll="0" defaultSubtotal="0">
      <items count="3">
        <item h="1" x="0"/>
        <item h="1" x="1"/>
        <item x="2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</pivotFields>
  <rowFields count="1">
    <field x="1"/>
  </rowFields>
  <rowItems count="2">
    <i>
      <x v="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0" hier="-1"/>
  </pageFields>
  <dataFields count="8">
    <dataField name="Soma de Bens" fld="2" baseField="0" baseItem="0"/>
    <dataField name="Soma de Lazer" fld="3" baseField="0" baseItem="0"/>
    <dataField name="Soma de Alimentação" fld="4" baseField="0" baseItem="0"/>
    <dataField name="Soma de Cabelo" fld="5" baseField="0" baseItem="0"/>
    <dataField name="Soma de DIzimo" fld="6" baseField="0" baseItem="0"/>
    <dataField name="Soma de Entradas" fld="7" baseField="0" baseItem="0"/>
    <dataField name="Soma de Outros" fld="8" baseField="0" baseItem="0"/>
    <dataField name="Soma de Racão" fld="9" baseField="0" baseItem="0"/>
  </dataFields>
  <formats count="1">
    <format dxfId="48">
      <pivotArea outline="0" collapsedLevelsAreSubtotals="1" fieldPosition="0"/>
    </format>
  </formats>
  <chartFormats count="8">
    <chartFormat chart="2" format="5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5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5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5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57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58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28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8">
  <location ref="L34:M60" firstHeaderRow="1" firstDataRow="1" firstDataCol="1"/>
  <pivotFields count="9">
    <pivotField axis="axisRow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44" showAll="0"/>
    <pivotField dataField="1" numFmtId="44" showAll="0"/>
    <pivotField axis="axisRow" showAll="0">
      <items count="5">
        <item x="0"/>
        <item x="1"/>
        <item m="1" x="3"/>
        <item x="2"/>
        <item t="default"/>
      </items>
    </pivotField>
    <pivotField axis="axisRow" showAll="0">
      <items count="5">
        <item sd="0" x="1"/>
        <item sd="0" x="0"/>
        <item sd="0" m="1" x="3"/>
        <item x="2"/>
        <item t="default" sd="0"/>
      </items>
    </pivotField>
    <pivotField axis="axisRow" showAll="0">
      <items count="5">
        <item x="1"/>
        <item x="0"/>
        <item x="2"/>
        <item x="3"/>
        <item t="default"/>
      </items>
    </pivotField>
    <pivotField numFmtId="44" showAll="0"/>
    <pivotField numFmtId="44" showAll="0"/>
    <pivotField axis="axisRow" showAll="0" defaultSubtotal="0">
      <items count="14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sd="0" x="10"/>
        <item h="1" sd="0" x="11"/>
        <item h="1" sd="0" x="12"/>
        <item h="1" sd="0" x="13"/>
      </items>
    </pivotField>
  </pivotFields>
  <rowFields count="6">
    <field x="3"/>
    <field x="4"/>
    <field x="8"/>
    <field x="0"/>
    <field x="-2"/>
    <field x="5"/>
  </rowFields>
  <rowItems count="26">
    <i>
      <x/>
    </i>
    <i r="1">
      <x v="1"/>
    </i>
    <i r="4">
      <x/>
    </i>
    <i r="4" i="1">
      <x v="1"/>
    </i>
    <i t="default">
      <x/>
    </i>
    <i t="default" i="1">
      <x/>
    </i>
    <i>
      <x v="1"/>
    </i>
    <i r="1">
      <x/>
    </i>
    <i r="4">
      <x/>
    </i>
    <i r="4" i="1">
      <x v="1"/>
    </i>
    <i t="default">
      <x v="1"/>
    </i>
    <i t="default" i="1">
      <x v="1"/>
    </i>
    <i>
      <x v="3"/>
    </i>
    <i r="1">
      <x v="3"/>
    </i>
    <i r="2">
      <x v="9"/>
    </i>
    <i r="4">
      <x/>
    </i>
    <i r="4" i="1">
      <x v="1"/>
    </i>
    <i r="2">
      <x v="10"/>
    </i>
    <i r="4">
      <x/>
    </i>
    <i r="4" i="1">
      <x v="1"/>
    </i>
    <i t="default" r="1">
      <x v="3"/>
    </i>
    <i t="default" r="1" i="1">
      <x v="3"/>
    </i>
    <i t="default">
      <x v="3"/>
    </i>
    <i t="default" i="1">
      <x v="3"/>
    </i>
    <i t="grand">
      <x/>
    </i>
    <i t="grand" i="1">
      <x/>
    </i>
  </rowItems>
  <colItems count="1">
    <i/>
  </colItems>
  <dataFields count="2">
    <dataField name="Soma de NUBANK" fld="2" baseField="0" baseItem="0"/>
    <dataField name="Soma de PICPAY" fld="1" baseField="0" baseItem="0"/>
  </dataFields>
  <formats count="2">
    <format dxfId="50">
      <pivotArea outline="0" collapsedLevelsAreSubtotals="1" fieldPosition="0"/>
    </format>
    <format dxfId="49">
      <pivotArea outline="0" collapsedLevelsAreSubtotals="1" fieldPosition="0"/>
    </format>
  </formats>
  <chartFormats count="11">
    <chartFormat chart="87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7" format="5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7" format="52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0"/>
          </reference>
          <reference field="4" count="1" selected="0">
            <x v="1"/>
          </reference>
          <reference field="8" count="1" selected="0">
            <x v="1048832"/>
          </reference>
        </references>
      </pivotArea>
    </chartFormat>
    <chartFormat chart="87" format="53">
      <pivotArea type="data" outline="0" fieldPosition="0">
        <references count="3">
          <reference field="4294967294" count="1" selected="0">
            <x v="0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7" format="54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1"/>
          </reference>
          <reference field="4" count="1" selected="0">
            <x v="0"/>
          </reference>
          <reference field="8" count="1" selected="0">
            <x v="1048832"/>
          </reference>
        </references>
      </pivotArea>
    </chartFormat>
    <chartFormat chart="87" format="55">
      <pivotArea type="data" outline="0" fieldPosition="0">
        <references count="3">
          <reference field="4294967294" count="1" selected="0">
            <x v="0"/>
          </reference>
          <reference field="3" count="1" selected="0">
            <x v="2"/>
          </reference>
          <reference field="4" count="1" selected="0">
            <x v="2"/>
          </reference>
        </references>
      </pivotArea>
    </chartFormat>
    <chartFormat chart="87" format="56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2"/>
          </reference>
          <reference field="4" count="1" selected="0">
            <x v="2"/>
          </reference>
          <reference field="8" count="1" selected="0">
            <x v="1048832"/>
          </reference>
        </references>
      </pivotArea>
    </chartFormat>
    <chartFormat chart="87" format="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  <chartFormat chart="87" format="58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9"/>
          </reference>
        </references>
      </pivotArea>
    </chartFormat>
    <chartFormat chart="87" format="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10"/>
          </reference>
        </references>
      </pivotArea>
    </chartFormat>
    <chartFormat chart="87" format="60">
      <pivotArea type="data" outline="0" fieldPosition="0">
        <references count="5">
          <reference field="4294967294" count="1" selected="0">
            <x v="1"/>
          </reference>
          <reference field="0" count="1" selected="0">
            <x v="1048832"/>
          </reference>
          <reference field="3" count="1" selected="0">
            <x v="3"/>
          </reference>
          <reference field="4" count="1" selected="0">
            <x v="3"/>
          </reference>
          <reference field="8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eses" sourceName="Meses">
  <pivotTables>
    <pivotTable tabId="5" name="Tabela dinâmica2"/>
    <pivotTable tabId="5" name="Tabela dinâmica3"/>
  </pivotTables>
  <data>
    <tabular pivotCacheId="3">
      <items count="14">
        <i x="7" s="1"/>
        <i x="8" s="1"/>
        <i x="9" s="1"/>
        <i x="10" s="1"/>
        <i x="1" nd="1"/>
        <i x="2" nd="1"/>
        <i x="3" nd="1"/>
        <i x="4" nd="1"/>
        <i x="5" nd="1"/>
        <i x="6" nd="1"/>
        <i x="11" nd="1"/>
        <i x="12" nd="1"/>
        <i x="0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5" name="Tabela dinâmica1"/>
  </pivotTables>
  <data>
    <tabular pivotCacheId="1">
      <items count="3">
        <i x="0"/>
        <i x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eses 1" cache="SegmentaçãodeDados_Meses" caption="Meses" columnCount="2" style="SlicerStyleLight1 2" rowHeight="241300"/>
  <slicer name="Mês" cache="SegmentaçãodeDados_Mês" caption="Mês" columnCount="2" style="SlicerStyleLight1 2" rowHeight="241300"/>
</slicers>
</file>

<file path=xl/tables/table1.xml><?xml version="1.0" encoding="utf-8"?>
<table xmlns="http://schemas.openxmlformats.org/spreadsheetml/2006/main" id="2" name="Tabela2" displayName="Tabela2" ref="A1:F39" totalsRowShown="0" headerRowDxfId="44" dataDxfId="43" tableBorderDxfId="42">
  <autoFilter ref="A1:F39"/>
  <tableColumns count="6">
    <tableColumn id="1" name="ID" dataDxfId="41"/>
    <tableColumn id="2" name="NOME" dataDxfId="40"/>
    <tableColumn id="3" name="MÊS" dataDxfId="39"/>
    <tableColumn id="4" name="DIA" dataDxfId="38"/>
    <tableColumn id="5" name="TIPO" dataDxfId="37"/>
    <tableColumn id="6" name="VALOR" dataDxfId="36" dataCellStyle="Moeda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8" name="Tabela9" displayName="Tabela9" ref="T4:AD7" totalsRowShown="0" headerRowDxfId="35" dataDxfId="33" headerRowBorderDxfId="34" tableBorderDxfId="32" totalsRowBorderDxfId="31" dataCellStyle="Moeda">
  <autoFilter ref="T4:AD7"/>
  <tableColumns count="11">
    <tableColumn id="1" name="Anos" dataDxfId="30" dataCellStyle="Moeda"/>
    <tableColumn id="11" name="Mês" dataDxfId="29" dataCellStyle="Moeda"/>
    <tableColumn id="2" name="Bens" dataDxfId="28" dataCellStyle="Moeda">
      <calculatedColumnFormula>SUMIFS(Tabela2[[#All],[VALOR]],Tabela2[[#All],[MÊS]],$U5,Tabela2[[#All],[TIPO]],$V$4)</calculatedColumnFormula>
    </tableColumn>
    <tableColumn id="3" name="Lazer" dataDxfId="27" dataCellStyle="Moeda">
      <calculatedColumnFormula>SUMIFS(Tabela2[[#All],[VALOR]],Tabela2[[#All],[MÊS]],$U5,Tabela2[[#All],[TIPO]],$W$4)</calculatedColumnFormula>
    </tableColumn>
    <tableColumn id="4" name="Alimentação" dataDxfId="26" dataCellStyle="Moeda">
      <calculatedColumnFormula>SUMIFS(Tabela2[[#All],[VALOR]],Tabela2[[#All],[MÊS]],$U5,Tabela2[[#All],[TIPO]],$X$4)</calculatedColumnFormula>
    </tableColumn>
    <tableColumn id="5" name="Cabelo" dataDxfId="25" dataCellStyle="Moeda">
      <calculatedColumnFormula>SUMIFS(Tabela2[[#All],[VALOR]],Tabela2[[#All],[MÊS]],$U5,Tabela2[[#All],[TIPO]],$Y$4)</calculatedColumnFormula>
    </tableColumn>
    <tableColumn id="6" name="DIzimo" dataDxfId="24" dataCellStyle="Moeda">
      <calculatedColumnFormula>SUMIFS(Tabela2[[#All],[VALOR]],Tabela2[[#All],[MÊS]],$U5,Tabela2[[#All],[TIPO]],$Z$4)</calculatedColumnFormula>
    </tableColumn>
    <tableColumn id="7" name="Entradas" dataDxfId="23" dataCellStyle="Moeda">
      <calculatedColumnFormula>SUMIFS(Tabela2[[#All],[VALOR]],Tabela2[[#All],[MÊS]],$U5,Tabela2[[#All],[TIPO]],$AA$4)</calculatedColumnFormula>
    </tableColumn>
    <tableColumn id="8" name="Outros" dataDxfId="22" dataCellStyle="Moeda">
      <calculatedColumnFormula>SUMIFS(Tabela2[[#All],[VALOR]],Tabela2[[#All],[MÊS]],$U5,Tabela2[[#All],[TIPO]],$AB$4)</calculatedColumnFormula>
    </tableColumn>
    <tableColumn id="9" name="Racão" dataDxfId="21" dataCellStyle="Moeda">
      <calculatedColumnFormula>SUMIFS(Tabela2[[#All],[VALOR]],Tabela2[[#All],[MÊS]],$U5,Tabela2[[#All],[TIPO]],$AC$4)</calculatedColumnFormula>
    </tableColumn>
    <tableColumn id="10" name="Total Gasto" dataDxfId="20" dataCellStyle="Moeda">
      <calculatedColumnFormula>SUM(Tabela9[[Bens]:[DIzimo]],Tabela9[[Outros]:[Racão]])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Tabela11" displayName="Tabela11" ref="J3:Q7" totalsRowShown="0" headerRowBorderDxfId="19" tableBorderDxfId="18" totalsRowBorderDxfId="17">
  <autoFilter ref="J3:Q7"/>
  <tableColumns count="8">
    <tableColumn id="1" name="Mês" dataDxfId="16"/>
    <tableColumn id="2" name="PICPAY" dataDxfId="15" dataCellStyle="Moeda"/>
    <tableColumn id="3" name="NUBANK" dataDxfId="14" dataCellStyle="Moeda"/>
    <tableColumn id="4" name="NEXT" dataDxfId="13" dataCellStyle="Moeda"/>
    <tableColumn id="5" name="BRADESCO" dataDxfId="12" dataCellStyle="Moeda"/>
    <tableColumn id="6" name="CARTEIRA" dataDxfId="11" dataCellStyle="Moeda"/>
    <tableColumn id="9" name="DEBITOS" dataDxfId="10" dataCellStyle="Moeda">
      <calculatedColumnFormula>Tabela9[Total Gasto]</calculatedColumnFormula>
    </tableColumn>
    <tableColumn id="7" name="SALDO FINAL" dataDxfId="9" dataCellStyle="Moeda">
      <calculatedColumnFormula>SUM(Tabela11[[#This Row],[PICPAY]:[CARTEIRA]])-Tabela11[[#This Row],[DEBITOS]]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Tabela13" displayName="Tabela13" ref="A2:B10" totalsRowShown="0" headerRowDxfId="8" headerRowBorderDxfId="7" tableBorderDxfId="6" totalsRowBorderDxfId="5">
  <autoFilter ref="A2:B10">
    <filterColumn colId="0" hiddenButton="1"/>
    <filterColumn colId="1" hiddenButton="1"/>
  </autoFilter>
  <tableColumns count="2">
    <tableColumn id="1" name="Tipo" dataDxfId="4"/>
    <tableColumn id="2" name="Valores Mês" dataDxfId="3" dataCellStyle="Moed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showGridLines="0" showRowColHeaders="0" tabSelected="1" zoomScale="70" zoomScaleNormal="70" workbookViewId="0">
      <selection activeCell="AI11" sqref="AI11"/>
    </sheetView>
  </sheetViews>
  <sheetFormatPr defaultRowHeight="15" x14ac:dyDescent="0.25"/>
  <cols>
    <col min="1" max="16384" width="9.140625" style="3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3:M60"/>
  <sheetViews>
    <sheetView topLeftCell="G4" workbookViewId="0">
      <selection activeCell="L34" sqref="L34"/>
    </sheetView>
  </sheetViews>
  <sheetFormatPr defaultRowHeight="15" x14ac:dyDescent="0.25"/>
  <cols>
    <col min="1" max="1" width="18" customWidth="1"/>
    <col min="2" max="2" width="13.42578125" style="2" customWidth="1"/>
    <col min="3" max="3" width="13.7109375" customWidth="1"/>
    <col min="4" max="4" width="20.42578125" customWidth="1"/>
    <col min="5" max="6" width="15.28515625" customWidth="1"/>
    <col min="7" max="7" width="16.7109375" customWidth="1"/>
    <col min="8" max="8" width="15.140625" customWidth="1"/>
    <col min="9" max="9" width="14.28515625" customWidth="1"/>
    <col min="10" max="10" width="19.28515625" customWidth="1"/>
    <col min="11" max="11" width="25.5703125" customWidth="1"/>
    <col min="12" max="12" width="18" customWidth="1"/>
    <col min="13" max="13" width="20.28515625" customWidth="1"/>
    <col min="14" max="14" width="15.5703125" customWidth="1"/>
    <col min="15" max="15" width="17" customWidth="1"/>
    <col min="16" max="18" width="12.140625" customWidth="1"/>
    <col min="19" max="19" width="17" bestFit="1" customWidth="1"/>
    <col min="20" max="20" width="7.7109375" customWidth="1"/>
    <col min="21" max="21" width="9.5703125" bestFit="1" customWidth="1"/>
    <col min="22" max="22" width="25.85546875" bestFit="1" customWidth="1"/>
    <col min="23" max="23" width="20.5703125" bestFit="1" customWidth="1"/>
    <col min="24" max="24" width="22.140625" bestFit="1" customWidth="1"/>
  </cols>
  <sheetData>
    <row r="3" spans="1:13" x14ac:dyDescent="0.25">
      <c r="B3"/>
    </row>
    <row r="4" spans="1:13" x14ac:dyDescent="0.25">
      <c r="A4" s="12" t="s">
        <v>85</v>
      </c>
      <c r="B4" s="13">
        <v>2021</v>
      </c>
    </row>
    <row r="5" spans="1:13" x14ac:dyDescent="0.25">
      <c r="A5" s="13"/>
      <c r="B5"/>
      <c r="J5" s="13"/>
      <c r="K5" s="15"/>
    </row>
    <row r="6" spans="1:13" x14ac:dyDescent="0.25">
      <c r="A6" s="12" t="s">
        <v>31</v>
      </c>
      <c r="B6" t="s">
        <v>87</v>
      </c>
      <c r="C6" t="s">
        <v>88</v>
      </c>
      <c r="D6" t="s">
        <v>89</v>
      </c>
      <c r="E6" t="s">
        <v>90</v>
      </c>
      <c r="F6" t="s">
        <v>91</v>
      </c>
      <c r="G6" t="s">
        <v>92</v>
      </c>
      <c r="H6" t="s">
        <v>93</v>
      </c>
      <c r="I6" t="s">
        <v>94</v>
      </c>
    </row>
    <row r="7" spans="1:13" x14ac:dyDescent="0.25">
      <c r="A7" s="13" t="s">
        <v>53</v>
      </c>
      <c r="B7" s="15">
        <v>-16.78</v>
      </c>
      <c r="C7" s="15">
        <v>-50</v>
      </c>
      <c r="D7" s="15">
        <v>-100</v>
      </c>
      <c r="E7" s="15">
        <v>-17</v>
      </c>
      <c r="F7" s="15">
        <v>-80</v>
      </c>
      <c r="G7" s="15">
        <v>900</v>
      </c>
      <c r="H7" s="15">
        <v>-102</v>
      </c>
      <c r="I7" s="15">
        <v>0</v>
      </c>
    </row>
    <row r="8" spans="1:13" x14ac:dyDescent="0.25">
      <c r="A8" s="13" t="s">
        <v>32</v>
      </c>
      <c r="B8" s="15">
        <v>-16.78</v>
      </c>
      <c r="C8" s="15">
        <v>-50</v>
      </c>
      <c r="D8" s="15">
        <v>-100</v>
      </c>
      <c r="E8" s="15">
        <v>-17</v>
      </c>
      <c r="F8" s="15">
        <v>-80</v>
      </c>
      <c r="G8" s="15">
        <v>900</v>
      </c>
      <c r="H8" s="15">
        <v>-102</v>
      </c>
      <c r="I8" s="15">
        <v>0</v>
      </c>
    </row>
    <row r="9" spans="1:13" x14ac:dyDescent="0.25">
      <c r="B9"/>
    </row>
    <row r="10" spans="1:13" x14ac:dyDescent="0.25">
      <c r="B10"/>
    </row>
    <row r="11" spans="1:13" x14ac:dyDescent="0.25">
      <c r="B11"/>
    </row>
    <row r="12" spans="1:13" x14ac:dyDescent="0.25">
      <c r="B12"/>
      <c r="L12" s="12" t="s">
        <v>31</v>
      </c>
      <c r="M12" t="s">
        <v>49</v>
      </c>
    </row>
    <row r="13" spans="1:13" x14ac:dyDescent="0.25">
      <c r="B13"/>
      <c r="L13" s="13" t="s">
        <v>24</v>
      </c>
      <c r="M13" s="15">
        <v>350</v>
      </c>
    </row>
    <row r="14" spans="1:13" x14ac:dyDescent="0.25">
      <c r="B14"/>
      <c r="L14" s="13" t="s">
        <v>26</v>
      </c>
      <c r="M14" s="15">
        <v>80</v>
      </c>
    </row>
    <row r="15" spans="1:13" x14ac:dyDescent="0.25">
      <c r="B15"/>
      <c r="L15" s="13" t="s">
        <v>17</v>
      </c>
      <c r="M15" s="15">
        <v>0</v>
      </c>
    </row>
    <row r="16" spans="1:13" x14ac:dyDescent="0.25">
      <c r="B16"/>
      <c r="L16" s="13" t="s">
        <v>20</v>
      </c>
      <c r="M16" s="15">
        <v>3</v>
      </c>
    </row>
    <row r="17" spans="1:13" x14ac:dyDescent="0.25">
      <c r="B17"/>
      <c r="L17" s="13" t="s">
        <v>40</v>
      </c>
      <c r="M17" s="15">
        <v>400</v>
      </c>
    </row>
    <row r="18" spans="1:13" x14ac:dyDescent="0.25">
      <c r="B18"/>
      <c r="L18" s="13" t="s">
        <v>27</v>
      </c>
      <c r="M18" s="15">
        <v>35</v>
      </c>
    </row>
    <row r="19" spans="1:13" x14ac:dyDescent="0.25">
      <c r="B19"/>
      <c r="L19" s="13" t="s">
        <v>41</v>
      </c>
      <c r="M19" s="15">
        <v>480</v>
      </c>
    </row>
    <row r="20" spans="1:13" x14ac:dyDescent="0.25">
      <c r="B20"/>
      <c r="L20" s="13" t="s">
        <v>42</v>
      </c>
      <c r="M20" s="15">
        <v>43</v>
      </c>
    </row>
    <row r="21" spans="1:13" x14ac:dyDescent="0.25">
      <c r="B21"/>
      <c r="L21" s="13" t="s">
        <v>32</v>
      </c>
      <c r="M21" s="15">
        <v>1391</v>
      </c>
    </row>
    <row r="22" spans="1:13" x14ac:dyDescent="0.25">
      <c r="B22"/>
    </row>
    <row r="23" spans="1:13" x14ac:dyDescent="0.25">
      <c r="B23"/>
    </row>
    <row r="24" spans="1:13" x14ac:dyDescent="0.25">
      <c r="A24" s="13"/>
      <c r="B24"/>
    </row>
    <row r="25" spans="1:13" x14ac:dyDescent="0.25">
      <c r="A25" s="14"/>
      <c r="B25"/>
      <c r="L25" s="12" t="s">
        <v>31</v>
      </c>
      <c r="M25" t="s">
        <v>106</v>
      </c>
    </row>
    <row r="26" spans="1:13" x14ac:dyDescent="0.25">
      <c r="A26" s="14"/>
      <c r="B26"/>
      <c r="L26" s="36" t="s">
        <v>97</v>
      </c>
      <c r="M26" s="15">
        <v>1954.5</v>
      </c>
    </row>
    <row r="27" spans="1:13" x14ac:dyDescent="0.25">
      <c r="A27" s="13"/>
      <c r="B27"/>
      <c r="L27" s="36" t="s">
        <v>98</v>
      </c>
      <c r="M27" s="15">
        <v>1906</v>
      </c>
    </row>
    <row r="28" spans="1:13" x14ac:dyDescent="0.25">
      <c r="B28"/>
      <c r="L28" s="36" t="s">
        <v>99</v>
      </c>
      <c r="M28" s="15">
        <v>2118.27</v>
      </c>
    </row>
    <row r="29" spans="1:13" x14ac:dyDescent="0.25">
      <c r="B29"/>
      <c r="L29" s="36" t="s">
        <v>121</v>
      </c>
      <c r="M29" s="15">
        <v>2058.0100000000002</v>
      </c>
    </row>
    <row r="30" spans="1:13" x14ac:dyDescent="0.25">
      <c r="B30"/>
      <c r="L30" s="36" t="s">
        <v>32</v>
      </c>
      <c r="M30" s="15">
        <v>8036.7800000000007</v>
      </c>
    </row>
    <row r="31" spans="1:13" x14ac:dyDescent="0.25">
      <c r="B31"/>
    </row>
    <row r="32" spans="1:13" x14ac:dyDescent="0.25">
      <c r="B32"/>
    </row>
    <row r="33" spans="2:13" x14ac:dyDescent="0.25">
      <c r="B33"/>
    </row>
    <row r="34" spans="2:13" x14ac:dyDescent="0.25">
      <c r="B34"/>
      <c r="L34" s="12" t="s">
        <v>31</v>
      </c>
    </row>
    <row r="35" spans="2:13" x14ac:dyDescent="0.25">
      <c r="B35"/>
      <c r="L35" s="13">
        <v>0</v>
      </c>
      <c r="M35" s="15"/>
    </row>
    <row r="36" spans="2:13" x14ac:dyDescent="0.25">
      <c r="B36"/>
      <c r="L36" s="14">
        <v>4.5</v>
      </c>
      <c r="M36" s="15"/>
    </row>
    <row r="37" spans="2:13" x14ac:dyDescent="0.25">
      <c r="B37"/>
      <c r="L37" s="37" t="s">
        <v>96</v>
      </c>
      <c r="M37" s="15">
        <v>1350</v>
      </c>
    </row>
    <row r="38" spans="2:13" x14ac:dyDescent="0.25">
      <c r="B38"/>
      <c r="L38" s="37" t="s">
        <v>95</v>
      </c>
      <c r="M38" s="15">
        <v>2000</v>
      </c>
    </row>
    <row r="39" spans="2:13" x14ac:dyDescent="0.25">
      <c r="B39"/>
      <c r="L39" s="13" t="s">
        <v>109</v>
      </c>
      <c r="M39" s="15">
        <v>1350</v>
      </c>
    </row>
    <row r="40" spans="2:13" x14ac:dyDescent="0.25">
      <c r="B40"/>
      <c r="L40" s="13" t="s">
        <v>110</v>
      </c>
      <c r="M40" s="15">
        <v>2000</v>
      </c>
    </row>
    <row r="41" spans="2:13" x14ac:dyDescent="0.25">
      <c r="B41"/>
      <c r="L41" s="13">
        <v>200</v>
      </c>
      <c r="M41" s="15"/>
    </row>
    <row r="42" spans="2:13" x14ac:dyDescent="0.25">
      <c r="B42"/>
      <c r="L42" s="14">
        <v>0</v>
      </c>
      <c r="M42" s="15"/>
    </row>
    <row r="43" spans="2:13" x14ac:dyDescent="0.25">
      <c r="L43" s="37" t="s">
        <v>96</v>
      </c>
      <c r="M43" s="15">
        <v>0</v>
      </c>
    </row>
    <row r="44" spans="2:13" x14ac:dyDescent="0.25">
      <c r="L44" s="37" t="s">
        <v>95</v>
      </c>
      <c r="M44" s="15">
        <v>2502</v>
      </c>
    </row>
    <row r="45" spans="2:13" x14ac:dyDescent="0.25">
      <c r="L45" s="13" t="s">
        <v>111</v>
      </c>
      <c r="M45" s="15">
        <v>0</v>
      </c>
    </row>
    <row r="46" spans="2:13" x14ac:dyDescent="0.25">
      <c r="L46" s="13" t="s">
        <v>112</v>
      </c>
      <c r="M46" s="15">
        <v>2502</v>
      </c>
    </row>
    <row r="47" spans="2:13" x14ac:dyDescent="0.25">
      <c r="L47" s="13" t="s">
        <v>113</v>
      </c>
      <c r="M47" s="15"/>
    </row>
    <row r="48" spans="2:13" x14ac:dyDescent="0.25">
      <c r="L48" s="14" t="s">
        <v>113</v>
      </c>
      <c r="M48" s="15"/>
    </row>
    <row r="49" spans="12:13" x14ac:dyDescent="0.25">
      <c r="L49" s="42" t="s">
        <v>114</v>
      </c>
      <c r="M49" s="15"/>
    </row>
    <row r="50" spans="12:13" x14ac:dyDescent="0.25">
      <c r="L50" s="37" t="s">
        <v>96</v>
      </c>
      <c r="M50" s="15">
        <v>480.66</v>
      </c>
    </row>
    <row r="51" spans="12:13" x14ac:dyDescent="0.25">
      <c r="L51" s="37" t="s">
        <v>95</v>
      </c>
      <c r="M51" s="15">
        <v>1918.99</v>
      </c>
    </row>
    <row r="52" spans="12:13" x14ac:dyDescent="0.25">
      <c r="L52" s="42" t="s">
        <v>122</v>
      </c>
      <c r="M52" s="15"/>
    </row>
    <row r="53" spans="12:13" x14ac:dyDescent="0.25">
      <c r="L53" s="37" t="s">
        <v>96</v>
      </c>
      <c r="M53" s="15">
        <v>411.9</v>
      </c>
    </row>
    <row r="54" spans="12:13" x14ac:dyDescent="0.25">
      <c r="L54" s="37" t="s">
        <v>95</v>
      </c>
      <c r="M54" s="15">
        <v>1855.89</v>
      </c>
    </row>
    <row r="55" spans="12:13" x14ac:dyDescent="0.25">
      <c r="L55" s="14" t="s">
        <v>115</v>
      </c>
      <c r="M55" s="15">
        <v>892.56</v>
      </c>
    </row>
    <row r="56" spans="12:13" x14ac:dyDescent="0.25">
      <c r="L56" s="14" t="s">
        <v>116</v>
      </c>
      <c r="M56" s="15">
        <v>3774.88</v>
      </c>
    </row>
    <row r="57" spans="12:13" x14ac:dyDescent="0.25">
      <c r="L57" s="13" t="s">
        <v>115</v>
      </c>
      <c r="M57" s="15">
        <v>892.56</v>
      </c>
    </row>
    <row r="58" spans="12:13" x14ac:dyDescent="0.25">
      <c r="L58" s="13" t="s">
        <v>116</v>
      </c>
      <c r="M58" s="15">
        <v>3774.88</v>
      </c>
    </row>
    <row r="59" spans="12:13" x14ac:dyDescent="0.25">
      <c r="L59" s="13" t="s">
        <v>108</v>
      </c>
      <c r="M59" s="15">
        <v>2242.56</v>
      </c>
    </row>
    <row r="60" spans="12:13" x14ac:dyDescent="0.25">
      <c r="L60" s="13" t="s">
        <v>107</v>
      </c>
      <c r="M60" s="15">
        <v>8276.8799999999992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D39"/>
  <sheetViews>
    <sheetView topLeftCell="C1" zoomScale="85" zoomScaleNormal="85" workbookViewId="0">
      <selection activeCell="Q7" sqref="Q7"/>
    </sheetView>
  </sheetViews>
  <sheetFormatPr defaultRowHeight="15" x14ac:dyDescent="0.25"/>
  <cols>
    <col min="1" max="1" width="9.140625" style="4"/>
    <col min="2" max="2" width="22" style="4" customWidth="1"/>
    <col min="3" max="4" width="9.140625" style="4"/>
    <col min="5" max="5" width="12.140625" style="4" bestFit="1" customWidth="1"/>
    <col min="6" max="6" width="12.140625" style="2" bestFit="1" customWidth="1"/>
    <col min="9" max="9" width="6.85546875" customWidth="1"/>
    <col min="10" max="10" width="14.140625" customWidth="1"/>
    <col min="11" max="17" width="15.85546875" style="2" customWidth="1"/>
    <col min="18" max="18" width="12.42578125" bestFit="1" customWidth="1"/>
    <col min="19" max="19" width="13.5703125" bestFit="1" customWidth="1"/>
    <col min="20" max="20" width="23.140625" bestFit="1" customWidth="1"/>
    <col min="21" max="21" width="23.140625" customWidth="1"/>
    <col min="22" max="22" width="17" customWidth="1"/>
    <col min="23" max="23" width="16.85546875" customWidth="1"/>
    <col min="24" max="24" width="22.28515625" customWidth="1"/>
    <col min="25" max="26" width="17.28515625" customWidth="1"/>
    <col min="27" max="27" width="19.7109375" customWidth="1"/>
    <col min="28" max="28" width="22.42578125" customWidth="1"/>
    <col min="29" max="29" width="14.140625" customWidth="1"/>
    <col min="30" max="30" width="18.42578125" customWidth="1"/>
  </cols>
  <sheetData>
    <row r="1" spans="1:3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2" t="s">
        <v>5</v>
      </c>
      <c r="I1" s="1">
        <v>42</v>
      </c>
    </row>
    <row r="2" spans="1:30" x14ac:dyDescent="0.25">
      <c r="A2" s="43">
        <v>1</v>
      </c>
      <c r="B2" s="38" t="s">
        <v>37</v>
      </c>
      <c r="C2" s="38" t="s">
        <v>15</v>
      </c>
      <c r="D2" s="38">
        <v>5</v>
      </c>
      <c r="E2" s="38" t="s">
        <v>6</v>
      </c>
      <c r="F2" s="39">
        <v>-25</v>
      </c>
      <c r="J2" s="62" t="s">
        <v>7</v>
      </c>
      <c r="K2" s="61"/>
      <c r="L2" s="61"/>
      <c r="M2" s="61"/>
      <c r="N2" s="61"/>
      <c r="O2" s="61"/>
      <c r="P2" s="61"/>
      <c r="Q2" s="61"/>
    </row>
    <row r="3" spans="1:30" x14ac:dyDescent="0.25">
      <c r="A3" s="44">
        <v>2</v>
      </c>
      <c r="B3" s="40" t="s">
        <v>62</v>
      </c>
      <c r="C3" s="40" t="s">
        <v>15</v>
      </c>
      <c r="D3" s="40">
        <v>6</v>
      </c>
      <c r="E3" s="40" t="s">
        <v>51</v>
      </c>
      <c r="F3" s="41">
        <v>515</v>
      </c>
      <c r="J3" s="20" t="s">
        <v>8</v>
      </c>
      <c r="K3" s="32" t="s">
        <v>77</v>
      </c>
      <c r="L3" s="33" t="s">
        <v>78</v>
      </c>
      <c r="M3" s="33" t="s">
        <v>79</v>
      </c>
      <c r="N3" s="33" t="s">
        <v>80</v>
      </c>
      <c r="O3" s="33" t="s">
        <v>81</v>
      </c>
      <c r="P3" s="33" t="s">
        <v>83</v>
      </c>
      <c r="Q3" s="33" t="s">
        <v>86</v>
      </c>
      <c r="T3" s="60" t="s">
        <v>16</v>
      </c>
      <c r="U3" s="61"/>
      <c r="V3" s="61"/>
      <c r="W3" s="61"/>
      <c r="X3" s="61"/>
      <c r="Y3" s="61"/>
      <c r="Z3" s="61"/>
      <c r="AA3" s="61"/>
    </row>
    <row r="4" spans="1:30" x14ac:dyDescent="0.25">
      <c r="A4" s="43">
        <v>3</v>
      </c>
      <c r="B4" s="38" t="s">
        <v>63</v>
      </c>
      <c r="C4" s="38" t="s">
        <v>15</v>
      </c>
      <c r="D4" s="38">
        <v>6</v>
      </c>
      <c r="E4" s="38" t="s">
        <v>64</v>
      </c>
      <c r="F4" s="39">
        <v>-100</v>
      </c>
      <c r="J4" s="18">
        <v>44378</v>
      </c>
      <c r="K4" s="19">
        <v>2000</v>
      </c>
      <c r="L4" s="19">
        <v>1350</v>
      </c>
      <c r="M4" s="19">
        <v>0</v>
      </c>
      <c r="N4" s="19">
        <v>4.5</v>
      </c>
      <c r="O4" s="19">
        <v>100</v>
      </c>
      <c r="P4" s="21">
        <v>1500</v>
      </c>
      <c r="Q4" s="26">
        <f>SUM(Tabela11[[#This Row],[PICPAY]:[CARTEIRA]])-Tabela11[[#This Row],[DEBITOS]]</f>
        <v>1954.5</v>
      </c>
      <c r="T4" s="6" t="s">
        <v>85</v>
      </c>
      <c r="U4" s="6" t="s">
        <v>8</v>
      </c>
      <c r="V4" s="7" t="s">
        <v>17</v>
      </c>
      <c r="W4" s="7" t="s">
        <v>18</v>
      </c>
      <c r="X4" s="7" t="s">
        <v>19</v>
      </c>
      <c r="Y4" s="7" t="s">
        <v>20</v>
      </c>
      <c r="Z4" s="8" t="s">
        <v>82</v>
      </c>
      <c r="AA4" s="7" t="s">
        <v>22</v>
      </c>
      <c r="AB4" s="7" t="s">
        <v>34</v>
      </c>
      <c r="AC4" s="7" t="s">
        <v>42</v>
      </c>
      <c r="AD4" s="7" t="s">
        <v>84</v>
      </c>
    </row>
    <row r="5" spans="1:30" x14ac:dyDescent="0.25">
      <c r="A5" s="44">
        <v>4</v>
      </c>
      <c r="B5" s="40" t="s">
        <v>65</v>
      </c>
      <c r="C5" s="40" t="s">
        <v>15</v>
      </c>
      <c r="D5" s="40">
        <v>6</v>
      </c>
      <c r="E5" s="40" t="s">
        <v>66</v>
      </c>
      <c r="F5" s="41">
        <v>-100</v>
      </c>
      <c r="J5" s="18">
        <v>44409</v>
      </c>
      <c r="K5" s="19">
        <v>2502</v>
      </c>
      <c r="L5" s="19">
        <v>0</v>
      </c>
      <c r="M5" s="19">
        <v>200</v>
      </c>
      <c r="N5" s="19">
        <v>0</v>
      </c>
      <c r="O5" s="19">
        <v>0</v>
      </c>
      <c r="P5" s="19">
        <f>ABS(Tabela9[Total Gasto])</f>
        <v>796</v>
      </c>
      <c r="Q5" s="25">
        <f>SUM(Tabela11[[#This Row],[PICPAY]:[CARTEIRA]])-Tabela11[[#This Row],[DEBITOS]]</f>
        <v>1906</v>
      </c>
      <c r="T5" s="30">
        <v>2021</v>
      </c>
      <c r="U5" s="30" t="s">
        <v>15</v>
      </c>
      <c r="V5" s="5">
        <f>SUMIFS(Tabela2[[#All],[VALOR]],Tabela2[[#All],[MÊS]],$U5,Tabela2[[#All],[TIPO]],$V$4)</f>
        <v>-73</v>
      </c>
      <c r="W5" s="5">
        <f>SUMIFS(Tabela2[[#All],[VALOR]],Tabela2[[#All],[MÊS]],$U5,Tabela2[[#All],[TIPO]],$W$4)</f>
        <v>-33</v>
      </c>
      <c r="X5" s="5">
        <f>SUMIFS(Tabela2[[#All],[VALOR]],Tabela2[[#All],[MÊS]],$U5,Tabela2[[#All],[TIPO]],$X$4)</f>
        <v>-100</v>
      </c>
      <c r="Y5" s="5">
        <f>SUMIFS(Tabela2[[#All],[VALOR]],Tabela2[[#All],[MÊS]],$U5,Tabela2[[#All],[TIPO]],$Y$4)</f>
        <v>-20</v>
      </c>
      <c r="Z5" s="5">
        <f>SUMIFS(Tabela2[[#All],[VALOR]],Tabela2[[#All],[MÊS]],$U5,Tabela2[[#All],[TIPO]],$Z$4)</f>
        <v>-66.5</v>
      </c>
      <c r="AA5" s="5">
        <f>SUMIFS(Tabela2[[#All],[VALOR]],Tabela2[[#All],[MÊS]],$U5,Tabela2[[#All],[TIPO]],$AA$4)</f>
        <v>515</v>
      </c>
      <c r="AB5" s="5">
        <f>SUMIFS(Tabela2[[#All],[VALOR]],Tabela2[[#All],[MÊS]],$U5,Tabela2[[#All],[TIPO]],$AB$4)</f>
        <v>-428</v>
      </c>
      <c r="AC5" s="5">
        <f>SUMIFS(Tabela2[[#All],[VALOR]],Tabela2[[#All],[MÊS]],$U5,Tabela2[[#All],[TIPO]],$AC$4)</f>
        <v>-75.5</v>
      </c>
      <c r="AD5" s="28">
        <f>SUM(V5:Z5,AB5:AC5)</f>
        <v>-796</v>
      </c>
    </row>
    <row r="6" spans="1:30" x14ac:dyDescent="0.25">
      <c r="A6" s="43">
        <v>5</v>
      </c>
      <c r="B6" s="38" t="s">
        <v>67</v>
      </c>
      <c r="C6" s="38" t="s">
        <v>15</v>
      </c>
      <c r="D6" s="38">
        <v>7</v>
      </c>
      <c r="E6" s="38" t="s">
        <v>68</v>
      </c>
      <c r="F6" s="39">
        <v>-66.5</v>
      </c>
      <c r="J6" s="18">
        <v>44440</v>
      </c>
      <c r="K6" s="25">
        <v>1918.99</v>
      </c>
      <c r="L6" s="25">
        <v>480.66</v>
      </c>
      <c r="M6" s="25"/>
      <c r="N6" s="25"/>
      <c r="O6" s="25"/>
      <c r="P6" s="31">
        <f>ABS(Tabela9[[#This Row],[Total Gasto]])</f>
        <v>281.38</v>
      </c>
      <c r="Q6" s="31">
        <f>SUM(Tabela11[[#This Row],[PICPAY]:[CARTEIRA]])-Tabela11[[#This Row],[DEBITOS]]</f>
        <v>2118.27</v>
      </c>
      <c r="T6" s="35">
        <v>2021</v>
      </c>
      <c r="U6" s="34" t="s">
        <v>52</v>
      </c>
      <c r="V6" s="27">
        <f>SUMIFS(Tabela2[[#All],[VALOR]],Tabela2[[#All],[MÊS]],$U6,Tabela2[[#All],[TIPO]],$V$4)</f>
        <v>-125.38000000000001</v>
      </c>
      <c r="W6" s="27">
        <f>SUMIFS(Tabela2[[#All],[VALOR]],Tabela2[[#All],[MÊS]],$U6,Tabela2[[#All],[TIPO]],$W$4)</f>
        <v>-25</v>
      </c>
      <c r="X6" s="27">
        <f>SUMIFS(Tabela2[[#All],[VALOR]],Tabela2[[#All],[MÊS]],$U6,Tabela2[[#All],[TIPO]],$X$4)</f>
        <v>0</v>
      </c>
      <c r="Y6" s="27">
        <f>SUMIFS(Tabela2[[#All],[VALOR]],Tabela2[[#All],[MÊS]],$U6,Tabela2[[#All],[TIPO]],$Y$4)</f>
        <v>-51</v>
      </c>
      <c r="Z6" s="27">
        <f>SUMIFS(Tabela2[[#All],[VALOR]],Tabela2[[#All],[MÊS]],$U6,Tabela2[[#All],[TIPO]],$Z$4)</f>
        <v>-80</v>
      </c>
      <c r="AA6" s="27">
        <f>SUMIFS(Tabela2[[#All],[VALOR]],Tabela2[[#All],[MÊS]],$U6,Tabela2[[#All],[TIPO]],$AA$4)</f>
        <v>900</v>
      </c>
      <c r="AB6" s="27">
        <f>SUMIFS(Tabela2[[#All],[VALOR]],Tabela2[[#All],[MÊS]],$U6,Tabela2[[#All],[TIPO]],$AB$4)</f>
        <v>0</v>
      </c>
      <c r="AC6" s="27">
        <f>SUMIFS(Tabela2[[#All],[VALOR]],Tabela2[[#All],[MÊS]],$U6,Tabela2[[#All],[TIPO]],$AC$4)</f>
        <v>0</v>
      </c>
      <c r="AD6" s="27">
        <f>SUM(V6:Z6,AB6:AC6)</f>
        <v>-281.38</v>
      </c>
    </row>
    <row r="7" spans="1:30" x14ac:dyDescent="0.25">
      <c r="A7" s="44">
        <v>6</v>
      </c>
      <c r="B7" s="40" t="s">
        <v>20</v>
      </c>
      <c r="C7" s="40" t="s">
        <v>15</v>
      </c>
      <c r="D7" s="40">
        <v>7</v>
      </c>
      <c r="E7" s="40" t="s">
        <v>50</v>
      </c>
      <c r="F7" s="41">
        <v>-20</v>
      </c>
      <c r="J7" s="18">
        <v>44470</v>
      </c>
      <c r="K7" s="25">
        <v>1855.89</v>
      </c>
      <c r="L7" s="25">
        <v>411.9</v>
      </c>
      <c r="M7" s="25"/>
      <c r="N7" s="25"/>
      <c r="O7" s="25">
        <v>156</v>
      </c>
      <c r="P7" s="31">
        <f>ABS(Tabela9[[#This Row],[Total Gasto]])</f>
        <v>365.78</v>
      </c>
      <c r="Q7" s="31">
        <f>SUM(Tabela11[[#This Row],[PICPAY]:[CARTEIRA]])-Tabela11[[#This Row],[DEBITOS]]</f>
        <v>2058.0100000000002</v>
      </c>
      <c r="T7" s="35">
        <v>2021</v>
      </c>
      <c r="U7" s="34" t="s">
        <v>53</v>
      </c>
      <c r="V7" s="27">
        <f>SUMIFS(Tabela2[[#All],[VALOR]],Tabela2[[#All],[MÊS]],$U7,Tabela2[[#All],[TIPO]],$V$4)</f>
        <v>-16.78</v>
      </c>
      <c r="W7" s="27">
        <f>SUMIFS(Tabela2[[#All],[VALOR]],Tabela2[[#All],[MÊS]],$U7,Tabela2[[#All],[TIPO]],$W$4)</f>
        <v>-50</v>
      </c>
      <c r="X7" s="27">
        <f>SUMIFS(Tabela2[[#All],[VALOR]],Tabela2[[#All],[MÊS]],$U7,Tabela2[[#All],[TIPO]],$X$4)</f>
        <v>-100</v>
      </c>
      <c r="Y7" s="27">
        <f>SUMIFS(Tabela2[[#All],[VALOR]],Tabela2[[#All],[MÊS]],$U7,Tabela2[[#All],[TIPO]],$Y$4)</f>
        <v>-17</v>
      </c>
      <c r="Z7" s="27">
        <f>SUMIFS(Tabela2[[#All],[VALOR]],Tabela2[[#All],[MÊS]],$U7,Tabela2[[#All],[TIPO]],$Z$4)</f>
        <v>-80</v>
      </c>
      <c r="AA7" s="27">
        <f>SUMIFS(Tabela2[[#All],[VALOR]],Tabela2[[#All],[MÊS]],$U7,Tabela2[[#All],[TIPO]],$AA$4)</f>
        <v>900</v>
      </c>
      <c r="AB7" s="27">
        <f>SUMIFS(Tabela2[[#All],[VALOR]],Tabela2[[#All],[MÊS]],$U7,Tabela2[[#All],[TIPO]],$AB$4)</f>
        <v>-102</v>
      </c>
      <c r="AC7" s="27">
        <f>SUMIFS(Tabela2[[#All],[VALOR]],Tabela2[[#All],[MÊS]],$U7,Tabela2[[#All],[TIPO]],$AC$4)</f>
        <v>0</v>
      </c>
      <c r="AD7" s="58">
        <f>SUM(V7:Z7,AB7:AC7)</f>
        <v>-365.78</v>
      </c>
    </row>
    <row r="8" spans="1:30" x14ac:dyDescent="0.25">
      <c r="A8" s="43">
        <v>7</v>
      </c>
      <c r="B8" s="38" t="s">
        <v>35</v>
      </c>
      <c r="C8" s="38" t="s">
        <v>15</v>
      </c>
      <c r="D8" s="38">
        <v>7</v>
      </c>
      <c r="E8" s="38" t="s">
        <v>6</v>
      </c>
      <c r="F8" s="39">
        <v>-30</v>
      </c>
    </row>
    <row r="9" spans="1:30" x14ac:dyDescent="0.25">
      <c r="A9" s="44">
        <v>8</v>
      </c>
      <c r="B9" s="40" t="s">
        <v>69</v>
      </c>
      <c r="C9" s="40" t="s">
        <v>15</v>
      </c>
      <c r="D9" s="40">
        <v>8</v>
      </c>
      <c r="E9" s="40" t="s">
        <v>66</v>
      </c>
      <c r="F9" s="41">
        <v>-128</v>
      </c>
    </row>
    <row r="10" spans="1:30" x14ac:dyDescent="0.25">
      <c r="A10" s="43">
        <v>9</v>
      </c>
      <c r="B10" s="38" t="s">
        <v>36</v>
      </c>
      <c r="C10" s="38" t="s">
        <v>15</v>
      </c>
      <c r="D10" s="38">
        <v>8</v>
      </c>
      <c r="E10" s="38" t="s">
        <v>66</v>
      </c>
      <c r="F10" s="39">
        <v>-100</v>
      </c>
      <c r="S10" s="17" t="s">
        <v>44</v>
      </c>
      <c r="T10" s="17" t="s">
        <v>45</v>
      </c>
      <c r="U10" s="29"/>
    </row>
    <row r="11" spans="1:30" x14ac:dyDescent="0.25">
      <c r="A11" s="44">
        <v>10</v>
      </c>
      <c r="B11" s="40" t="s">
        <v>70</v>
      </c>
      <c r="C11" s="40" t="s">
        <v>15</v>
      </c>
      <c r="D11" s="40">
        <v>8</v>
      </c>
      <c r="E11" s="40" t="s">
        <v>71</v>
      </c>
      <c r="F11" s="41">
        <v>-8</v>
      </c>
      <c r="S11" s="17" t="s">
        <v>9</v>
      </c>
      <c r="T11" s="17" t="s">
        <v>46</v>
      </c>
      <c r="U11" s="29"/>
    </row>
    <row r="12" spans="1:30" x14ac:dyDescent="0.25">
      <c r="A12" s="43">
        <v>11</v>
      </c>
      <c r="B12" s="38" t="s">
        <v>72</v>
      </c>
      <c r="C12" s="38" t="s">
        <v>15</v>
      </c>
      <c r="D12" s="38">
        <v>9</v>
      </c>
      <c r="E12" s="38" t="s">
        <v>6</v>
      </c>
      <c r="F12" s="39">
        <v>-18</v>
      </c>
      <c r="S12" s="17" t="s">
        <v>12</v>
      </c>
      <c r="T12" s="17"/>
      <c r="U12" s="29"/>
    </row>
    <row r="13" spans="1:30" x14ac:dyDescent="0.25">
      <c r="A13" s="44">
        <v>12</v>
      </c>
      <c r="B13" s="40" t="s">
        <v>73</v>
      </c>
      <c r="C13" s="40" t="s">
        <v>15</v>
      </c>
      <c r="D13" s="40">
        <v>13</v>
      </c>
      <c r="E13" s="40" t="s">
        <v>71</v>
      </c>
      <c r="F13" s="41">
        <v>-25</v>
      </c>
      <c r="S13" s="17" t="s">
        <v>11</v>
      </c>
      <c r="T13" s="17" t="s">
        <v>47</v>
      </c>
      <c r="U13" s="29"/>
    </row>
    <row r="14" spans="1:30" x14ac:dyDescent="0.25">
      <c r="A14" s="43">
        <v>13</v>
      </c>
      <c r="B14" s="38" t="s">
        <v>74</v>
      </c>
      <c r="C14" s="38" t="s">
        <v>15</v>
      </c>
      <c r="D14" s="38">
        <v>14</v>
      </c>
      <c r="E14" s="38" t="s">
        <v>61</v>
      </c>
      <c r="F14" s="39">
        <v>-73</v>
      </c>
      <c r="K14" s="2" t="s">
        <v>56</v>
      </c>
      <c r="S14" s="17" t="s">
        <v>10</v>
      </c>
      <c r="T14" s="17" t="s">
        <v>48</v>
      </c>
      <c r="U14" s="29"/>
    </row>
    <row r="15" spans="1:30" x14ac:dyDescent="0.25">
      <c r="A15" s="44">
        <v>15</v>
      </c>
      <c r="B15" s="40" t="s">
        <v>75</v>
      </c>
      <c r="C15" s="40" t="s">
        <v>15</v>
      </c>
      <c r="D15" s="40">
        <v>17</v>
      </c>
      <c r="E15" s="40" t="s">
        <v>66</v>
      </c>
      <c r="F15" s="41">
        <v>-100</v>
      </c>
      <c r="K15" s="2" t="s">
        <v>57</v>
      </c>
    </row>
    <row r="16" spans="1:30" x14ac:dyDescent="0.25">
      <c r="A16" s="43">
        <v>16</v>
      </c>
      <c r="B16" s="38" t="s">
        <v>76</v>
      </c>
      <c r="C16" s="38" t="s">
        <v>15</v>
      </c>
      <c r="D16" s="38">
        <v>28</v>
      </c>
      <c r="E16" s="38" t="s">
        <v>61</v>
      </c>
      <c r="F16" s="39">
        <v>-2.5</v>
      </c>
      <c r="K16" s="2" t="s">
        <v>58</v>
      </c>
    </row>
    <row r="17" spans="1:11" x14ac:dyDescent="0.25">
      <c r="A17" s="44">
        <v>18</v>
      </c>
      <c r="B17" s="40" t="s">
        <v>100</v>
      </c>
      <c r="C17" s="40" t="s">
        <v>52</v>
      </c>
      <c r="D17" s="40">
        <v>2</v>
      </c>
      <c r="E17" s="40" t="s">
        <v>6</v>
      </c>
      <c r="F17" s="41">
        <v>-15</v>
      </c>
      <c r="K17" s="2" t="s">
        <v>59</v>
      </c>
    </row>
    <row r="18" spans="1:11" x14ac:dyDescent="0.25">
      <c r="A18" s="43">
        <v>19</v>
      </c>
      <c r="B18" s="38" t="s">
        <v>101</v>
      </c>
      <c r="C18" s="38" t="s">
        <v>52</v>
      </c>
      <c r="D18" s="38">
        <v>3</v>
      </c>
      <c r="E18" s="38" t="s">
        <v>6</v>
      </c>
      <c r="F18" s="39">
        <v>-15</v>
      </c>
      <c r="K18" s="2" t="s">
        <v>60</v>
      </c>
    </row>
    <row r="19" spans="1:11" x14ac:dyDescent="0.25">
      <c r="A19" s="44">
        <v>20</v>
      </c>
      <c r="B19" s="40" t="s">
        <v>102</v>
      </c>
      <c r="C19" s="40" t="s">
        <v>52</v>
      </c>
      <c r="D19" s="40">
        <v>3</v>
      </c>
      <c r="E19" s="40" t="s">
        <v>6</v>
      </c>
      <c r="F19" s="41">
        <v>-10</v>
      </c>
      <c r="K19" s="2" t="s">
        <v>33</v>
      </c>
    </row>
    <row r="20" spans="1:11" x14ac:dyDescent="0.25">
      <c r="A20" s="43">
        <v>21</v>
      </c>
      <c r="B20" s="38" t="s">
        <v>62</v>
      </c>
      <c r="C20" s="38" t="s">
        <v>52</v>
      </c>
      <c r="D20" s="38">
        <v>4</v>
      </c>
      <c r="E20" s="38" t="s">
        <v>51</v>
      </c>
      <c r="F20" s="39">
        <v>900</v>
      </c>
      <c r="K20" s="2" t="s">
        <v>14</v>
      </c>
    </row>
    <row r="21" spans="1:11" x14ac:dyDescent="0.25">
      <c r="A21" s="44">
        <v>22</v>
      </c>
      <c r="B21" s="40" t="s">
        <v>103</v>
      </c>
      <c r="C21" s="40" t="s">
        <v>52</v>
      </c>
      <c r="D21" s="40">
        <v>6</v>
      </c>
      <c r="E21" s="40" t="s">
        <v>6</v>
      </c>
      <c r="F21" s="41">
        <v>-38.74</v>
      </c>
      <c r="K21" s="2" t="s">
        <v>15</v>
      </c>
    </row>
    <row r="22" spans="1:11" x14ac:dyDescent="0.25">
      <c r="A22" s="43">
        <v>23</v>
      </c>
      <c r="B22" s="38">
        <v>1</v>
      </c>
      <c r="C22" s="38" t="s">
        <v>52</v>
      </c>
      <c r="D22" s="38">
        <v>6</v>
      </c>
      <c r="E22" s="38" t="s">
        <v>50</v>
      </c>
      <c r="F22" s="39">
        <v>-17</v>
      </c>
      <c r="K22" s="2" t="s">
        <v>52</v>
      </c>
    </row>
    <row r="23" spans="1:11" x14ac:dyDescent="0.25">
      <c r="A23" s="44">
        <v>24</v>
      </c>
      <c r="B23" s="40" t="s">
        <v>104</v>
      </c>
      <c r="C23" s="40" t="s">
        <v>52</v>
      </c>
      <c r="D23" s="40">
        <v>7</v>
      </c>
      <c r="E23" s="40" t="s">
        <v>6</v>
      </c>
      <c r="F23" s="41">
        <v>-20.98</v>
      </c>
      <c r="K23" s="2" t="s">
        <v>53</v>
      </c>
    </row>
    <row r="24" spans="1:11" x14ac:dyDescent="0.25">
      <c r="A24" s="43">
        <v>25</v>
      </c>
      <c r="B24" s="38" t="s">
        <v>105</v>
      </c>
      <c r="C24" s="38" t="s">
        <v>52</v>
      </c>
      <c r="D24" s="38">
        <v>11</v>
      </c>
      <c r="E24" s="38" t="s">
        <v>6</v>
      </c>
      <c r="F24" s="39">
        <v>-15.16</v>
      </c>
      <c r="K24" s="2" t="s">
        <v>54</v>
      </c>
    </row>
    <row r="25" spans="1:11" x14ac:dyDescent="0.25">
      <c r="A25" s="44">
        <v>26</v>
      </c>
      <c r="B25" s="40">
        <v>1</v>
      </c>
      <c r="C25" s="40" t="s">
        <v>52</v>
      </c>
      <c r="D25" s="40">
        <v>14</v>
      </c>
      <c r="E25" s="40" t="s">
        <v>68</v>
      </c>
      <c r="F25" s="41">
        <v>-80</v>
      </c>
      <c r="K25" s="2" t="s">
        <v>55</v>
      </c>
    </row>
    <row r="26" spans="1:11" x14ac:dyDescent="0.25">
      <c r="A26" s="44">
        <v>27</v>
      </c>
      <c r="B26" s="40">
        <v>2</v>
      </c>
      <c r="C26" s="40" t="s">
        <v>52</v>
      </c>
      <c r="D26" s="40">
        <v>18</v>
      </c>
      <c r="E26" s="40" t="s">
        <v>50</v>
      </c>
      <c r="F26" s="45">
        <v>-17</v>
      </c>
    </row>
    <row r="27" spans="1:11" x14ac:dyDescent="0.25">
      <c r="A27" s="46">
        <v>30</v>
      </c>
      <c r="B27" s="47" t="s">
        <v>117</v>
      </c>
      <c r="C27" s="47" t="s">
        <v>52</v>
      </c>
      <c r="D27" s="47">
        <v>21</v>
      </c>
      <c r="E27" s="47" t="s">
        <v>6</v>
      </c>
      <c r="F27" s="45">
        <v>-10.5</v>
      </c>
    </row>
    <row r="28" spans="1:11" x14ac:dyDescent="0.25">
      <c r="A28" s="48">
        <v>31</v>
      </c>
      <c r="B28" s="49" t="s">
        <v>118</v>
      </c>
      <c r="C28" s="49" t="s">
        <v>52</v>
      </c>
      <c r="D28" s="49">
        <v>20</v>
      </c>
      <c r="E28" s="49" t="s">
        <v>50</v>
      </c>
      <c r="F28" s="50">
        <v>-17</v>
      </c>
    </row>
    <row r="29" spans="1:11" x14ac:dyDescent="0.25">
      <c r="A29" s="48">
        <v>32</v>
      </c>
      <c r="B29" s="49" t="s">
        <v>119</v>
      </c>
      <c r="C29" s="49" t="s">
        <v>52</v>
      </c>
      <c r="D29" s="49">
        <v>25</v>
      </c>
      <c r="E29" s="49" t="s">
        <v>71</v>
      </c>
      <c r="F29" s="50">
        <v>-25</v>
      </c>
    </row>
    <row r="30" spans="1:11" x14ac:dyDescent="0.25">
      <c r="A30" s="48">
        <v>33</v>
      </c>
      <c r="B30" s="49">
        <v>1</v>
      </c>
      <c r="C30" s="49" t="s">
        <v>53</v>
      </c>
      <c r="D30" s="49">
        <v>2</v>
      </c>
      <c r="E30" s="49" t="s">
        <v>50</v>
      </c>
      <c r="F30" s="50">
        <v>-17</v>
      </c>
    </row>
    <row r="31" spans="1:11" x14ac:dyDescent="0.25">
      <c r="A31" s="48">
        <v>34</v>
      </c>
      <c r="B31" s="49" t="s">
        <v>123</v>
      </c>
      <c r="C31" s="49" t="s">
        <v>53</v>
      </c>
      <c r="D31" s="49">
        <v>4</v>
      </c>
      <c r="E31" s="49" t="s">
        <v>6</v>
      </c>
      <c r="F31" s="59">
        <v>-6.79</v>
      </c>
    </row>
    <row r="32" spans="1:11" x14ac:dyDescent="0.25">
      <c r="A32" s="48">
        <v>35</v>
      </c>
      <c r="B32" s="49" t="s">
        <v>62</v>
      </c>
      <c r="C32" s="49" t="s">
        <v>53</v>
      </c>
      <c r="D32" s="49">
        <v>6</v>
      </c>
      <c r="E32" s="49" t="s">
        <v>51</v>
      </c>
      <c r="F32" s="50">
        <v>900</v>
      </c>
    </row>
    <row r="33" spans="1:6" x14ac:dyDescent="0.25">
      <c r="A33" s="48">
        <v>36</v>
      </c>
      <c r="B33" s="49" t="s">
        <v>124</v>
      </c>
      <c r="C33" s="49" t="s">
        <v>53</v>
      </c>
      <c r="D33" s="49">
        <v>7</v>
      </c>
      <c r="E33" s="49" t="s">
        <v>64</v>
      </c>
      <c r="F33" s="50">
        <v>-100</v>
      </c>
    </row>
    <row r="34" spans="1:6" x14ac:dyDescent="0.25">
      <c r="A34" s="48">
        <v>37</v>
      </c>
      <c r="B34" s="49" t="s">
        <v>65</v>
      </c>
      <c r="C34" s="49" t="s">
        <v>53</v>
      </c>
      <c r="D34" s="49">
        <v>7</v>
      </c>
      <c r="E34" s="49" t="s">
        <v>66</v>
      </c>
      <c r="F34" s="50">
        <v>-100</v>
      </c>
    </row>
    <row r="35" spans="1:6" x14ac:dyDescent="0.25">
      <c r="A35" s="48">
        <v>38</v>
      </c>
      <c r="B35" s="49" t="s">
        <v>125</v>
      </c>
      <c r="C35" s="49" t="s">
        <v>53</v>
      </c>
      <c r="D35" s="49">
        <v>7</v>
      </c>
      <c r="E35" s="49" t="s">
        <v>6</v>
      </c>
      <c r="F35" s="50">
        <v>-9.99</v>
      </c>
    </row>
    <row r="36" spans="1:6" x14ac:dyDescent="0.25">
      <c r="A36" s="48">
        <v>39</v>
      </c>
      <c r="B36" s="49" t="s">
        <v>126</v>
      </c>
      <c r="C36" s="49" t="s">
        <v>53</v>
      </c>
      <c r="D36" s="49">
        <v>8</v>
      </c>
      <c r="E36" s="49" t="s">
        <v>66</v>
      </c>
      <c r="F36" s="50">
        <v>-2</v>
      </c>
    </row>
    <row r="37" spans="1:6" x14ac:dyDescent="0.25">
      <c r="A37" s="48">
        <v>40</v>
      </c>
      <c r="B37" s="49">
        <v>1</v>
      </c>
      <c r="C37" s="49" t="s">
        <v>53</v>
      </c>
      <c r="D37" s="49">
        <v>9</v>
      </c>
      <c r="E37" s="49" t="s">
        <v>68</v>
      </c>
      <c r="F37" s="50">
        <v>-80</v>
      </c>
    </row>
    <row r="38" spans="1:6" x14ac:dyDescent="0.25">
      <c r="A38" s="48">
        <v>41</v>
      </c>
      <c r="B38" s="49" t="s">
        <v>127</v>
      </c>
      <c r="C38" s="49" t="s">
        <v>53</v>
      </c>
      <c r="D38" s="49">
        <v>10</v>
      </c>
      <c r="E38" s="49" t="s">
        <v>71</v>
      </c>
      <c r="F38" s="50">
        <v>-50</v>
      </c>
    </row>
    <row r="39" spans="1:6" x14ac:dyDescent="0.25">
      <c r="A39" s="48"/>
      <c r="B39" s="49"/>
      <c r="C39" s="49"/>
      <c r="D39" s="49"/>
      <c r="E39" s="49"/>
      <c r="F39" s="50"/>
    </row>
  </sheetData>
  <mergeCells count="2">
    <mergeCell ref="T3:AA3"/>
    <mergeCell ref="J2:Q2"/>
  </mergeCell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D31"/>
  <sheetViews>
    <sheetView zoomScale="77" zoomScaleNormal="77" workbookViewId="0">
      <selection sqref="A1:B1"/>
    </sheetView>
  </sheetViews>
  <sheetFormatPr defaultRowHeight="15" x14ac:dyDescent="0.25"/>
  <cols>
    <col min="1" max="1" width="16" bestFit="1" customWidth="1"/>
    <col min="2" max="2" width="19.140625" customWidth="1"/>
    <col min="3" max="3" width="14.5703125" bestFit="1" customWidth="1"/>
    <col min="4" max="4" width="14.42578125" bestFit="1" customWidth="1"/>
    <col min="5" max="5" width="18" bestFit="1" customWidth="1"/>
    <col min="6" max="6" width="15.42578125" bestFit="1" customWidth="1"/>
    <col min="7" max="7" width="19.7109375" bestFit="1" customWidth="1"/>
    <col min="8" max="8" width="20.42578125" bestFit="1" customWidth="1"/>
    <col min="9" max="9" width="17" bestFit="1" customWidth="1"/>
    <col min="10" max="10" width="19.140625" bestFit="1" customWidth="1"/>
    <col min="13" max="13" width="23.28515625" bestFit="1" customWidth="1"/>
    <col min="14" max="14" width="5.7109375" bestFit="1" customWidth="1"/>
  </cols>
  <sheetData>
    <row r="1" spans="1:4" x14ac:dyDescent="0.25">
      <c r="A1" s="63" t="s">
        <v>38</v>
      </c>
      <c r="B1" s="63"/>
    </row>
    <row r="2" spans="1:4" x14ac:dyDescent="0.25">
      <c r="A2" s="23" t="s">
        <v>39</v>
      </c>
      <c r="B2" s="21" t="s">
        <v>43</v>
      </c>
    </row>
    <row r="3" spans="1:4" x14ac:dyDescent="0.25">
      <c r="A3" s="24" t="s">
        <v>17</v>
      </c>
      <c r="B3" s="19">
        <v>0</v>
      </c>
    </row>
    <row r="4" spans="1:4" x14ac:dyDescent="0.25">
      <c r="A4" s="24" t="s">
        <v>24</v>
      </c>
      <c r="B4" s="19">
        <v>350</v>
      </c>
    </row>
    <row r="5" spans="1:4" x14ac:dyDescent="0.25">
      <c r="A5" s="24" t="s">
        <v>40</v>
      </c>
      <c r="B5" s="19">
        <v>400</v>
      </c>
    </row>
    <row r="6" spans="1:4" x14ac:dyDescent="0.25">
      <c r="A6" s="24" t="s">
        <v>27</v>
      </c>
      <c r="B6" s="19">
        <v>35</v>
      </c>
    </row>
    <row r="7" spans="1:4" x14ac:dyDescent="0.25">
      <c r="A7" s="24" t="s">
        <v>41</v>
      </c>
      <c r="B7" s="19">
        <v>480</v>
      </c>
    </row>
    <row r="8" spans="1:4" x14ac:dyDescent="0.25">
      <c r="A8" s="24" t="s">
        <v>42</v>
      </c>
      <c r="B8" s="19">
        <v>43</v>
      </c>
    </row>
    <row r="9" spans="1:4" x14ac:dyDescent="0.25">
      <c r="A9" s="24" t="s">
        <v>26</v>
      </c>
      <c r="B9" s="19">
        <v>80</v>
      </c>
    </row>
    <row r="10" spans="1:4" x14ac:dyDescent="0.25">
      <c r="A10" s="16" t="s">
        <v>20</v>
      </c>
      <c r="B10" s="22">
        <v>3</v>
      </c>
    </row>
    <row r="13" spans="1:4" ht="15.75" thickBot="1" x14ac:dyDescent="0.3"/>
    <row r="14" spans="1:4" ht="19.5" thickBot="1" x14ac:dyDescent="0.35">
      <c r="C14" s="64" t="s">
        <v>120</v>
      </c>
      <c r="D14" s="65"/>
    </row>
    <row r="15" spans="1:4" ht="18.75" x14ac:dyDescent="0.3">
      <c r="C15" s="9" t="s">
        <v>17</v>
      </c>
      <c r="D15" s="53">
        <v>100</v>
      </c>
    </row>
    <row r="16" spans="1:4" ht="18.75" x14ac:dyDescent="0.3">
      <c r="C16" s="9" t="s">
        <v>18</v>
      </c>
      <c r="D16" s="53">
        <v>70</v>
      </c>
    </row>
    <row r="17" spans="3:4" ht="18.75" x14ac:dyDescent="0.3">
      <c r="C17" s="9" t="s">
        <v>20</v>
      </c>
      <c r="D17" s="53">
        <v>40</v>
      </c>
    </row>
    <row r="18" spans="3:4" ht="18.75" x14ac:dyDescent="0.3">
      <c r="C18" s="9" t="s">
        <v>21</v>
      </c>
      <c r="D18" s="53">
        <v>75</v>
      </c>
    </row>
    <row r="19" spans="3:4" ht="18.75" x14ac:dyDescent="0.3">
      <c r="C19" s="9" t="s">
        <v>23</v>
      </c>
      <c r="D19" s="53">
        <v>30</v>
      </c>
    </row>
    <row r="20" spans="3:4" ht="18.75" x14ac:dyDescent="0.3">
      <c r="C20" s="9" t="s">
        <v>24</v>
      </c>
      <c r="D20" s="53">
        <v>70</v>
      </c>
    </row>
    <row r="21" spans="3:4" ht="18.75" x14ac:dyDescent="0.3">
      <c r="C21" s="9" t="s">
        <v>13</v>
      </c>
      <c r="D21" s="53">
        <f>SUM(D15:D20)</f>
        <v>385</v>
      </c>
    </row>
    <row r="22" spans="3:4" ht="19.5" thickBot="1" x14ac:dyDescent="0.35">
      <c r="C22" s="10"/>
      <c r="D22" s="11"/>
    </row>
    <row r="23" spans="3:4" ht="15.75" thickBot="1" x14ac:dyDescent="0.3"/>
    <row r="24" spans="3:4" ht="18.75" x14ac:dyDescent="0.3">
      <c r="C24" s="52" t="s">
        <v>13</v>
      </c>
      <c r="D24" s="54">
        <f>SUM(D25:D28)</f>
        <v>415</v>
      </c>
    </row>
    <row r="25" spans="3:4" ht="18.75" x14ac:dyDescent="0.3">
      <c r="C25" s="9" t="s">
        <v>25</v>
      </c>
      <c r="D25" s="53">
        <v>100</v>
      </c>
    </row>
    <row r="26" spans="3:4" ht="18.75" x14ac:dyDescent="0.3">
      <c r="C26" s="9" t="s">
        <v>26</v>
      </c>
      <c r="D26" s="53">
        <v>40</v>
      </c>
    </row>
    <row r="27" spans="3:4" ht="18.75" x14ac:dyDescent="0.3">
      <c r="C27" s="9" t="s">
        <v>27</v>
      </c>
      <c r="D27" s="53">
        <v>35</v>
      </c>
    </row>
    <row r="28" spans="3:4" ht="19.5" thickBot="1" x14ac:dyDescent="0.35">
      <c r="C28" s="10" t="s">
        <v>28</v>
      </c>
      <c r="D28" s="55">
        <v>240</v>
      </c>
    </row>
    <row r="29" spans="3:4" ht="15.75" thickBot="1" x14ac:dyDescent="0.3"/>
    <row r="30" spans="3:4" ht="19.5" thickBot="1" x14ac:dyDescent="0.35">
      <c r="C30" s="51" t="s">
        <v>30</v>
      </c>
      <c r="D30" s="57">
        <f>SUM(D24+D21)-D31</f>
        <v>0</v>
      </c>
    </row>
    <row r="31" spans="3:4" ht="19.5" thickBot="1" x14ac:dyDescent="0.35">
      <c r="C31" s="51" t="s">
        <v>29</v>
      </c>
      <c r="D31" s="56">
        <v>800</v>
      </c>
    </row>
  </sheetData>
  <mergeCells count="2">
    <mergeCell ref="A1:B1"/>
    <mergeCell ref="C14:D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Planilha4</vt:lpstr>
      <vt:lpstr>base</vt:lpstr>
      <vt:lpstr>acumulado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JOAO</cp:lastModifiedBy>
  <dcterms:created xsi:type="dcterms:W3CDTF">2021-08-19T22:22:45Z</dcterms:created>
  <dcterms:modified xsi:type="dcterms:W3CDTF">2021-10-10T23:40:25Z</dcterms:modified>
</cp:coreProperties>
</file>